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Mestrado\Bovinos Pr\"/>
    </mc:Choice>
  </mc:AlternateContent>
  <xr:revisionPtr revIDLastSave="0" documentId="13_ncr:1_{2EF7971C-5B9B-4687-AB88-5A84ED4801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a_1" sheetId="1" r:id="rId1"/>
  </sheets>
  <definedNames>
    <definedName name="_xlnm._FilterDatabase" localSheetId="0" hidden="1">Tabela_1!$A$1:$G$1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2" i="1"/>
</calcChain>
</file>

<file path=xl/sharedStrings.xml><?xml version="1.0" encoding="utf-8"?>
<sst xmlns="http://schemas.openxmlformats.org/spreadsheetml/2006/main" count="810" uniqueCount="796">
  <si>
    <t>Apucarana</t>
  </si>
  <si>
    <t>Arapongas</t>
  </si>
  <si>
    <t>Jandaia do Sul</t>
  </si>
  <si>
    <t>Campina da Lagoa</t>
  </si>
  <si>
    <t>Campo Mourão</t>
  </si>
  <si>
    <t>Engenheiro Beltrão</t>
  </si>
  <si>
    <t>Goioerê</t>
  </si>
  <si>
    <t>Iretama</t>
  </si>
  <si>
    <t>Mamborê</t>
  </si>
  <si>
    <t>Capitão Leônidas Marques</t>
  </si>
  <si>
    <t>Cascavel</t>
  </si>
  <si>
    <t>Catanduvas</t>
  </si>
  <si>
    <t>Corbélia</t>
  </si>
  <si>
    <t>Foz do Iguaçu</t>
  </si>
  <si>
    <t>Matelândia</t>
  </si>
  <si>
    <t>Medianeira</t>
  </si>
  <si>
    <t>Missal</t>
  </si>
  <si>
    <t>Nova Aurora</t>
  </si>
  <si>
    <t>São Miguel do Iguaçu</t>
  </si>
  <si>
    <t>Três Barras do Paraná</t>
  </si>
  <si>
    <t>Cianorte</t>
  </si>
  <si>
    <t>Cidade Gaúcha</t>
  </si>
  <si>
    <t>Rondon</t>
  </si>
  <si>
    <t>Tapejara</t>
  </si>
  <si>
    <t>Assaí</t>
  </si>
  <si>
    <t>Cornélio Procópio</t>
  </si>
  <si>
    <t>Bandeirantes</t>
  </si>
  <si>
    <t>Ribeirão do Pinhal</t>
  </si>
  <si>
    <t>Santa Mariana</t>
  </si>
  <si>
    <t>Adrianópolis</t>
  </si>
  <si>
    <t>Curitiba</t>
  </si>
  <si>
    <t>Campo Largo</t>
  </si>
  <si>
    <t>Cerro Azul</t>
  </si>
  <si>
    <t>Colombo</t>
  </si>
  <si>
    <t>Lapa</t>
  </si>
  <si>
    <t>Rio Branco do Sul</t>
  </si>
  <si>
    <t>Rio Negro</t>
  </si>
  <si>
    <t>Dois Vizinhos</t>
  </si>
  <si>
    <t>Planalto</t>
  </si>
  <si>
    <t>Realeza</t>
  </si>
  <si>
    <t>Salto do Lontra</t>
  </si>
  <si>
    <t>São Jorge do Oeste</t>
  </si>
  <si>
    <t>Barracão</t>
  </si>
  <si>
    <t>Francisco Beltrão</t>
  </si>
  <si>
    <t>Salgado Filho</t>
  </si>
  <si>
    <t>Santo Antônio do Sudoeste</t>
  </si>
  <si>
    <t>Candói</t>
  </si>
  <si>
    <t>Guarapuava</t>
  </si>
  <si>
    <t>Cantagalo</t>
  </si>
  <si>
    <t>Pinhão</t>
  </si>
  <si>
    <t>Prudentópolis</t>
  </si>
  <si>
    <t>Turvo</t>
  </si>
  <si>
    <t>Imbituva</t>
  </si>
  <si>
    <t>Irati</t>
  </si>
  <si>
    <t>Rio Azul</t>
  </si>
  <si>
    <t>Teixeira Soares</t>
  </si>
  <si>
    <t>Faxinal</t>
  </si>
  <si>
    <t>Ivaiporã</t>
  </si>
  <si>
    <t>Grandes Rios</t>
  </si>
  <si>
    <t>Ibaiti</t>
  </si>
  <si>
    <t>Jacarezinho</t>
  </si>
  <si>
    <t>Joaquim Távora</t>
  </si>
  <si>
    <t>Santo Antônio da Platina</t>
  </si>
  <si>
    <t>Siqueira Campos</t>
  </si>
  <si>
    <t>Wenceslau Braz</t>
  </si>
  <si>
    <t>Guaraniaçu</t>
  </si>
  <si>
    <t>Laranjeiras do Sul</t>
  </si>
  <si>
    <t>Nova Laranjeiras</t>
  </si>
  <si>
    <t>Quedas do Iguaçu</t>
  </si>
  <si>
    <t>Rio Bonito do Iguaçu</t>
  </si>
  <si>
    <t>Bela Vista do Paraíso</t>
  </si>
  <si>
    <t>Londrina</t>
  </si>
  <si>
    <t>Centenário do Sul</t>
  </si>
  <si>
    <t>Porecatu</t>
  </si>
  <si>
    <t>Rolândia</t>
  </si>
  <si>
    <t>Sertanópolis</t>
  </si>
  <si>
    <t>Astorga</t>
  </si>
  <si>
    <t>Maringá</t>
  </si>
  <si>
    <t>Colorado</t>
  </si>
  <si>
    <t>Mandaguaçu</t>
  </si>
  <si>
    <t>Mandaguari</t>
  </si>
  <si>
    <t>Nova Esperança</t>
  </si>
  <si>
    <t>Antonina</t>
  </si>
  <si>
    <t>Paranaguá</t>
  </si>
  <si>
    <t>Guaratuba</t>
  </si>
  <si>
    <t>Loanda</t>
  </si>
  <si>
    <t>Paranavaí</t>
  </si>
  <si>
    <t>Nova Londrina</t>
  </si>
  <si>
    <t>Paraíso do Norte</t>
  </si>
  <si>
    <t>Paranacity</t>
  </si>
  <si>
    <t>Querência do Norte</t>
  </si>
  <si>
    <t>Santa Cruz de Monte Castelo</t>
  </si>
  <si>
    <t>Terra Rica</t>
  </si>
  <si>
    <t>Chopinzinho</t>
  </si>
  <si>
    <t>Pato Branco</t>
  </si>
  <si>
    <t>Clevelândia</t>
  </si>
  <si>
    <t>Coronel Vivida</t>
  </si>
  <si>
    <t>Palmas</t>
  </si>
  <si>
    <t>Cândido de Abreu</t>
  </si>
  <si>
    <t>Pitanga</t>
  </si>
  <si>
    <t>Manoel Ribas</t>
  </si>
  <si>
    <t>Palmital</t>
  </si>
  <si>
    <t>Arapoti</t>
  </si>
  <si>
    <t>Ponta Grossa</t>
  </si>
  <si>
    <t>Castro</t>
  </si>
  <si>
    <t>Palmeira</t>
  </si>
  <si>
    <t>Reserva</t>
  </si>
  <si>
    <t>Sengés</t>
  </si>
  <si>
    <t>Tibagi</t>
  </si>
  <si>
    <t>Assis Chateaubriand</t>
  </si>
  <si>
    <t>Toledo</t>
  </si>
  <si>
    <t>Guaíra</t>
  </si>
  <si>
    <t>Marechal Cândido Rondon</t>
  </si>
  <si>
    <t>Palotina</t>
  </si>
  <si>
    <t>Santa Helena</t>
  </si>
  <si>
    <t>Altônia</t>
  </si>
  <si>
    <t>Umuarama</t>
  </si>
  <si>
    <t>Cruzeiro do Oeste</t>
  </si>
  <si>
    <t>Icaraíma</t>
  </si>
  <si>
    <t>Iporã</t>
  </si>
  <si>
    <t>Maria Helena</t>
  </si>
  <si>
    <t>Pérola</t>
  </si>
  <si>
    <t>Cruz Machado</t>
  </si>
  <si>
    <t>União da Vitória</t>
  </si>
  <si>
    <t>General Carneiro</t>
  </si>
  <si>
    <t>São Mateus do Sul</t>
  </si>
  <si>
    <t>Califórnia</t>
  </si>
  <si>
    <t>Marilândia do Sul</t>
  </si>
  <si>
    <t>Mauá da Serra</t>
  </si>
  <si>
    <t>Novo Itacolomi</t>
  </si>
  <si>
    <t>Rio Bom</t>
  </si>
  <si>
    <t>Sabáudia</t>
  </si>
  <si>
    <t>Bom Sucesso</t>
  </si>
  <si>
    <t>Cambira</t>
  </si>
  <si>
    <t>Kaloré</t>
  </si>
  <si>
    <t>Marumbi</t>
  </si>
  <si>
    <t>Altamira do Paraná</t>
  </si>
  <si>
    <t>Nova Cantu</t>
  </si>
  <si>
    <t>Araruna</t>
  </si>
  <si>
    <t>Corumbataí do Sul</t>
  </si>
  <si>
    <t>Farol</t>
  </si>
  <si>
    <t>Luiziana</t>
  </si>
  <si>
    <t>Barbosa Ferraz</t>
  </si>
  <si>
    <t>Fênix</t>
  </si>
  <si>
    <t>Peabiru</t>
  </si>
  <si>
    <t>Quinta do Sol</t>
  </si>
  <si>
    <t>Terra Boa</t>
  </si>
  <si>
    <t>Janiópolis</t>
  </si>
  <si>
    <t>Moreira Sales</t>
  </si>
  <si>
    <t>Quarto Centenário</t>
  </si>
  <si>
    <t>Rancho Alegre do Oeste</t>
  </si>
  <si>
    <t>Roncador</t>
  </si>
  <si>
    <t>Boa Esperança</t>
  </si>
  <si>
    <t>Juranda</t>
  </si>
  <si>
    <t>Ubiratã</t>
  </si>
  <si>
    <t>Lindoeste</t>
  </si>
  <si>
    <t>Santa Lúcia</t>
  </si>
  <si>
    <t>Santa Tereza do Oeste</t>
  </si>
  <si>
    <t>Campo Bonito</t>
  </si>
  <si>
    <t>Ibema</t>
  </si>
  <si>
    <t>Braganey</t>
  </si>
  <si>
    <t>Iguatu</t>
  </si>
  <si>
    <t>Santa Terezinha de Itaipu</t>
  </si>
  <si>
    <t>Céu Azul</t>
  </si>
  <si>
    <t>Ramilândia</t>
  </si>
  <si>
    <t>Vera Cruz do Oeste</t>
  </si>
  <si>
    <t>Serranópolis do Iguaçu</t>
  </si>
  <si>
    <t>Diamante do Oeste</t>
  </si>
  <si>
    <t>Anahy</t>
  </si>
  <si>
    <t>Cafelândia</t>
  </si>
  <si>
    <t>Itaipulândia</t>
  </si>
  <si>
    <t>Boa Vista da Aparecida</t>
  </si>
  <si>
    <t>Japurá</t>
  </si>
  <si>
    <t>Jussara</t>
  </si>
  <si>
    <t>São Tomé</t>
  </si>
  <si>
    <t>Guaporema</t>
  </si>
  <si>
    <t>Tapira</t>
  </si>
  <si>
    <t>Indianópolis</t>
  </si>
  <si>
    <t>São Manoel do Paraná</t>
  </si>
  <si>
    <t>Tuneiras do Oeste</t>
  </si>
  <si>
    <t>Jataizinho</t>
  </si>
  <si>
    <t>Nova Santa Bárbara</t>
  </si>
  <si>
    <t>Santa Cecília do Pavão</t>
  </si>
  <si>
    <t>São Sebastião da Amoreira</t>
  </si>
  <si>
    <t>Abatiá</t>
  </si>
  <si>
    <t>Andirá</t>
  </si>
  <si>
    <t>Itambaracá</t>
  </si>
  <si>
    <t>Nova América da Colina</t>
  </si>
  <si>
    <t>Rancho Alegre</t>
  </si>
  <si>
    <t>Sertaneja</t>
  </si>
  <si>
    <t>Uraí</t>
  </si>
  <si>
    <t>Congonhinhas</t>
  </si>
  <si>
    <t>Nova Fátima</t>
  </si>
  <si>
    <t>Santo Antônio do Paraíso</t>
  </si>
  <si>
    <t>Leópolis</t>
  </si>
  <si>
    <t>Santa Amélia</t>
  </si>
  <si>
    <t>SÃO JERÔNIMO DA SERRA</t>
  </si>
  <si>
    <t>SAPOPEMA</t>
  </si>
  <si>
    <t>Tunas do Paraná</t>
  </si>
  <si>
    <t>Araucária</t>
  </si>
  <si>
    <t>Balsa Nova</t>
  </si>
  <si>
    <t>Doutor Ulysses</t>
  </si>
  <si>
    <t>Bocaiúva do Sul</t>
  </si>
  <si>
    <t>Campina Grande do Sul</t>
  </si>
  <si>
    <t>Pinhais</t>
  </si>
  <si>
    <t>Piraquara</t>
  </si>
  <si>
    <t>Quatro Barras</t>
  </si>
  <si>
    <t>Contenda</t>
  </si>
  <si>
    <t>Quitandinha</t>
  </si>
  <si>
    <t>Almirante Tamandaré</t>
  </si>
  <si>
    <t>Campo Magro</t>
  </si>
  <si>
    <t>Itaperuçu</t>
  </si>
  <si>
    <t>AGUDOS DO SUL</t>
  </si>
  <si>
    <t>Campo do Tenente</t>
  </si>
  <si>
    <t>Piên</t>
  </si>
  <si>
    <t>Fazenda Rio Grande</t>
  </si>
  <si>
    <t>Mandirituba</t>
  </si>
  <si>
    <t>SÃO JOSÉ DOS PINHAIS</t>
  </si>
  <si>
    <t>TIJUCAS DO SUL</t>
  </si>
  <si>
    <t>Boa Esperança do Iguaçu</t>
  </si>
  <si>
    <t>Cruzeiro do Iguaçu</t>
  </si>
  <si>
    <t>Bela Vista da Caroba</t>
  </si>
  <si>
    <t>Capanema</t>
  </si>
  <si>
    <t>Ampére</t>
  </si>
  <si>
    <t>Santa Izabel do Oeste</t>
  </si>
  <si>
    <t>Nova Esperança do Sudoeste</t>
  </si>
  <si>
    <t>Nova Prata do Iguaçu</t>
  </si>
  <si>
    <t>Verê</t>
  </si>
  <si>
    <t>Bom Jesus do Sul</t>
  </si>
  <si>
    <t>Enéas Marques</t>
  </si>
  <si>
    <t>Marmeleiro</t>
  </si>
  <si>
    <t>Renascença</t>
  </si>
  <si>
    <t>Flor da Serra do Sul</t>
  </si>
  <si>
    <t>Manfrinópolis</t>
  </si>
  <si>
    <t>Pérola do Oeste</t>
  </si>
  <si>
    <t>Pinhal de São Bento</t>
  </si>
  <si>
    <t>Pranchita</t>
  </si>
  <si>
    <t>Foz do Jordão</t>
  </si>
  <si>
    <t>Goioxim</t>
  </si>
  <si>
    <t>Reserva do Iguaçu</t>
  </si>
  <si>
    <t>Campina do Simão</t>
  </si>
  <si>
    <t>Guamiranga</t>
  </si>
  <si>
    <t>Ivaí</t>
  </si>
  <si>
    <t>Inácio Martins</t>
  </si>
  <si>
    <t>Mallet</t>
  </si>
  <si>
    <t>Rebouças</t>
  </si>
  <si>
    <t>Fernandes Pinheiro</t>
  </si>
  <si>
    <t>Borrazópolis</t>
  </si>
  <si>
    <t>Cruzmaltina</t>
  </si>
  <si>
    <t>Rio Branco do Ivaí</t>
  </si>
  <si>
    <t>Rosário do Ivaí</t>
  </si>
  <si>
    <t>Arapuã</t>
  </si>
  <si>
    <t>Ariranha do Ivaí</t>
  </si>
  <si>
    <t>Jardim Alegre</t>
  </si>
  <si>
    <t>Lidianópolis</t>
  </si>
  <si>
    <t>Godoy Moreira</t>
  </si>
  <si>
    <t>Lunardelli</t>
  </si>
  <si>
    <t>São João do Ivaí</t>
  </si>
  <si>
    <t>São Pedro do Ivaí</t>
  </si>
  <si>
    <t>Curiúva</t>
  </si>
  <si>
    <t>Figueira</t>
  </si>
  <si>
    <t>Jaboti</t>
  </si>
  <si>
    <t>Japira</t>
  </si>
  <si>
    <t>Pinhalão</t>
  </si>
  <si>
    <t>Barra do Jacaré</t>
  </si>
  <si>
    <t>Cambará</t>
  </si>
  <si>
    <t>Ribeirão Claro</t>
  </si>
  <si>
    <t>Carlópolis</t>
  </si>
  <si>
    <t>Quatiguá</t>
  </si>
  <si>
    <t>Conselheiro Mairinck</t>
  </si>
  <si>
    <t>Guapirama</t>
  </si>
  <si>
    <t>Jundiaí do Sul</t>
  </si>
  <si>
    <t>Salto do Itararé</t>
  </si>
  <si>
    <t>Tomazina</t>
  </si>
  <si>
    <t>Santana do Itararé</t>
  </si>
  <si>
    <t>São José da Boa Vista</t>
  </si>
  <si>
    <t>Diamante do Sul</t>
  </si>
  <si>
    <t>Marquinho</t>
  </si>
  <si>
    <t>Virmond</t>
  </si>
  <si>
    <t>Espigão Alto do Iguaçu</t>
  </si>
  <si>
    <t>Porto Barreiro</t>
  </si>
  <si>
    <t>Alvorada do Sul</t>
  </si>
  <si>
    <t>Primeiro de Maio</t>
  </si>
  <si>
    <t>Cafeara</t>
  </si>
  <si>
    <t>Guaraci</t>
  </si>
  <si>
    <t>Lupionópolis</t>
  </si>
  <si>
    <t>Tamarana</t>
  </si>
  <si>
    <t>Florestópolis</t>
  </si>
  <si>
    <t>Miraselva</t>
  </si>
  <si>
    <t>Prado Ferreira</t>
  </si>
  <si>
    <t>Cambé</t>
  </si>
  <si>
    <t>Jaguapitã</t>
  </si>
  <si>
    <t>Ibiporã</t>
  </si>
  <si>
    <t>Ângulo</t>
  </si>
  <si>
    <t>Flórida</t>
  </si>
  <si>
    <t>Iguaraçu</t>
  </si>
  <si>
    <t>Munhoz de Melo</t>
  </si>
  <si>
    <t>Pitangueiras</t>
  </si>
  <si>
    <t>Santa Fé</t>
  </si>
  <si>
    <t>Itaguajé</t>
  </si>
  <si>
    <t>Lobato</t>
  </si>
  <si>
    <t>Nossa Senhora das Graças</t>
  </si>
  <si>
    <t>Santa Inês</t>
  </si>
  <si>
    <t>Santo Inácio</t>
  </si>
  <si>
    <t>Ourizona</t>
  </si>
  <si>
    <t>São Jorge do Ivaí</t>
  </si>
  <si>
    <t>Marialva</t>
  </si>
  <si>
    <t>Doutor Camargo</t>
  </si>
  <si>
    <t>Floresta</t>
  </si>
  <si>
    <t>Itambé</t>
  </si>
  <si>
    <t>Ivatuba</t>
  </si>
  <si>
    <t>Paiçandu</t>
  </si>
  <si>
    <t>Sarandi</t>
  </si>
  <si>
    <t>Atalaia</t>
  </si>
  <si>
    <t>Floraí</t>
  </si>
  <si>
    <t>Presidente Castelo Branco</t>
  </si>
  <si>
    <t>Uniflor</t>
  </si>
  <si>
    <t>Guaraqueçaba</t>
  </si>
  <si>
    <t>Matinhos</t>
  </si>
  <si>
    <t>Morretes</t>
  </si>
  <si>
    <t>Pontal do Paraná</t>
  </si>
  <si>
    <t>Planaltina do Paraná</t>
  </si>
  <si>
    <t>Santa Isabel do Ivaí</t>
  </si>
  <si>
    <t>Santa Mônica</t>
  </si>
  <si>
    <t>São Pedro do Paraná</t>
  </si>
  <si>
    <t>Diamante do Norte</t>
  </si>
  <si>
    <t>Itaúna do Sul</t>
  </si>
  <si>
    <t>Marilena</t>
  </si>
  <si>
    <t>Mirador</t>
  </si>
  <si>
    <t>Nova Aliança do Ivaí</t>
  </si>
  <si>
    <t>São Carlos do Ivaí</t>
  </si>
  <si>
    <t>Tamboara</t>
  </si>
  <si>
    <t>Cruzeiro do Sul</t>
  </si>
  <si>
    <t>Inajá</t>
  </si>
  <si>
    <t>Jardim Olinda</t>
  </si>
  <si>
    <t>Paranapoema</t>
  </si>
  <si>
    <t>Alto Paraná</t>
  </si>
  <si>
    <t>Amaporã</t>
  </si>
  <si>
    <t>São João do Caiuá</t>
  </si>
  <si>
    <t>Porto Rico</t>
  </si>
  <si>
    <t>Guairaçá</t>
  </si>
  <si>
    <t>Santo Antônio do Caiuá</t>
  </si>
  <si>
    <t>São João</t>
  </si>
  <si>
    <t>Saudade do Iguaçu</t>
  </si>
  <si>
    <t>Sulina</t>
  </si>
  <si>
    <t>Mariópolis</t>
  </si>
  <si>
    <t>Honório Serpa</t>
  </si>
  <si>
    <t>Mangueirinha</t>
  </si>
  <si>
    <t>Coronel Domingos Soares</t>
  </si>
  <si>
    <t>Bom Sucesso do Sul</t>
  </si>
  <si>
    <t>Itapejara do Oeste</t>
  </si>
  <si>
    <t>Vitorino</t>
  </si>
  <si>
    <t>Nova Tebas</t>
  </si>
  <si>
    <t>Laranjal</t>
  </si>
  <si>
    <t>Boa Ventura de São Roque</t>
  </si>
  <si>
    <t>Mato Rico</t>
  </si>
  <si>
    <t>Santa Maria do Oeste</t>
  </si>
  <si>
    <t>Ventania</t>
  </si>
  <si>
    <t>Piraí do Sul</t>
  </si>
  <si>
    <t>Jaguariaíva</t>
  </si>
  <si>
    <t>ORTIGUEIRA</t>
  </si>
  <si>
    <t>Porto Amazonas</t>
  </si>
  <si>
    <t>Carambeí</t>
  </si>
  <si>
    <t>Ipiranga</t>
  </si>
  <si>
    <t>Imbaú</t>
  </si>
  <si>
    <t>Telêmaco Borba</t>
  </si>
  <si>
    <t>Formosa do Oeste</t>
  </si>
  <si>
    <t>Iracema do Oeste</t>
  </si>
  <si>
    <t>Jesuítas</t>
  </si>
  <si>
    <t>Tupãssi</t>
  </si>
  <si>
    <t>Terra Roxa</t>
  </si>
  <si>
    <t>Entre Rios do Oeste</t>
  </si>
  <si>
    <t>Mercedes</t>
  </si>
  <si>
    <t>Pato Bragado</t>
  </si>
  <si>
    <t>Quatro Pontes</t>
  </si>
  <si>
    <t>Maripá</t>
  </si>
  <si>
    <t>Nova Santa Rosa</t>
  </si>
  <si>
    <t>São José das Palmeiras</t>
  </si>
  <si>
    <t>Ouro Verde do Oeste</t>
  </si>
  <si>
    <t>São Pedro do Iguaçu</t>
  </si>
  <si>
    <t>São Jorge do Patrocínio</t>
  </si>
  <si>
    <t>Mariluz</t>
  </si>
  <si>
    <t>Alto Paraíso</t>
  </si>
  <si>
    <t>Douradina</t>
  </si>
  <si>
    <t>Ivaté</t>
  </si>
  <si>
    <t>Alto Piquiri</t>
  </si>
  <si>
    <t>Brasilândia do Sul</t>
  </si>
  <si>
    <t>Cafezal do Sul</t>
  </si>
  <si>
    <t>Francisco Alves</t>
  </si>
  <si>
    <t>NOVA OLÍMPIA</t>
  </si>
  <si>
    <t>Esperança Nova</t>
  </si>
  <si>
    <t>Perobal</t>
  </si>
  <si>
    <t>Xambrê</t>
  </si>
  <si>
    <t>Bituruna</t>
  </si>
  <si>
    <t>Antônio Olinto</t>
  </si>
  <si>
    <t>São João do Triunfo</t>
  </si>
  <si>
    <t>Paula Freitas</t>
  </si>
  <si>
    <t>Paulo Frontin</t>
  </si>
  <si>
    <t>Porto Vitória</t>
  </si>
  <si>
    <t>Bovinos</t>
  </si>
  <si>
    <t>Ovinos</t>
  </si>
  <si>
    <t>Suinos</t>
  </si>
  <si>
    <t>Equinos</t>
  </si>
  <si>
    <t>Caprinos</t>
  </si>
  <si>
    <t>Muar</t>
  </si>
  <si>
    <t>CD_MUN</t>
  </si>
  <si>
    <t>Municipio</t>
  </si>
  <si>
    <t>9.000</t>
  </si>
  <si>
    <t>30.000</t>
  </si>
  <si>
    <t>1.200</t>
  </si>
  <si>
    <t>35.000</t>
  </si>
  <si>
    <t>21.000</t>
  </si>
  <si>
    <t>8.500</t>
  </si>
  <si>
    <t>1.450</t>
  </si>
  <si>
    <t>270.000</t>
  </si>
  <si>
    <t>6.200</t>
  </si>
  <si>
    <t>600</t>
  </si>
  <si>
    <t>2.450</t>
  </si>
  <si>
    <t>27.500</t>
  </si>
  <si>
    <t>95.000</t>
  </si>
  <si>
    <t>2.400</t>
  </si>
  <si>
    <t>15.600</t>
  </si>
  <si>
    <t>98.000</t>
  </si>
  <si>
    <t>VBP_MUN</t>
  </si>
  <si>
    <t>669.500</t>
  </si>
  <si>
    <t>28.000</t>
  </si>
  <si>
    <t>41.000</t>
  </si>
  <si>
    <t>315.020</t>
  </si>
  <si>
    <t>3.104.553</t>
  </si>
  <si>
    <t>215.000</t>
  </si>
  <si>
    <t>1.536.000</t>
  </si>
  <si>
    <t>320.221</t>
  </si>
  <si>
    <t>28.700</t>
  </si>
  <si>
    <t>3.619.832</t>
  </si>
  <si>
    <t>780.400</t>
  </si>
  <si>
    <t>640.000</t>
  </si>
  <si>
    <t>873.000</t>
  </si>
  <si>
    <t>5.538</t>
  </si>
  <si>
    <t>25.000</t>
  </si>
  <si>
    <t>3.705.558</t>
  </si>
  <si>
    <t>5.650.200</t>
  </si>
  <si>
    <t>144.824</t>
  </si>
  <si>
    <t>1.970.405</t>
  </si>
  <si>
    <t>520.185</t>
  </si>
  <si>
    <t>7.498</t>
  </si>
  <si>
    <t>125.310</t>
  </si>
  <si>
    <t>8.638.893</t>
  </si>
  <si>
    <t>4.280.200</t>
  </si>
  <si>
    <t>759.000</t>
  </si>
  <si>
    <t>53.505</t>
  </si>
  <si>
    <t>572.100</t>
  </si>
  <si>
    <t>345.208</t>
  </si>
  <si>
    <t>3.154.700</t>
  </si>
  <si>
    <t>382.584</t>
  </si>
  <si>
    <t>237.323</t>
  </si>
  <si>
    <t>345.899</t>
  </si>
  <si>
    <t>64.000</t>
  </si>
  <si>
    <t>71.583</t>
  </si>
  <si>
    <t>1.059.140</t>
  </si>
  <si>
    <t>33.200</t>
  </si>
  <si>
    <t>678.000</t>
  </si>
  <si>
    <t>10.800</t>
  </si>
  <si>
    <t>395.940</t>
  </si>
  <si>
    <t>1.095.225</t>
  </si>
  <si>
    <t>974.465</t>
  </si>
  <si>
    <t>385.801</t>
  </si>
  <si>
    <t>480.040</t>
  </si>
  <si>
    <t>1.050.900</t>
  </si>
  <si>
    <t>5.862.749</t>
  </si>
  <si>
    <t>1.990.000</t>
  </si>
  <si>
    <t>437.302</t>
  </si>
  <si>
    <t>1.233.000</t>
  </si>
  <si>
    <t>702.100</t>
  </si>
  <si>
    <t>1.162.522</t>
  </si>
  <si>
    <t>1.177.056</t>
  </si>
  <si>
    <t>23.900</t>
  </si>
  <si>
    <t>19.500</t>
  </si>
  <si>
    <t>503.000</t>
  </si>
  <si>
    <t>500.000</t>
  </si>
  <si>
    <t>93.450</t>
  </si>
  <si>
    <t>292.456</t>
  </si>
  <si>
    <t>2.163.542</t>
  </si>
  <si>
    <t>260.000</t>
  </si>
  <si>
    <t>75.900</t>
  </si>
  <si>
    <t>61.697</t>
  </si>
  <si>
    <t>4.508.196</t>
  </si>
  <si>
    <t>1.700.000</t>
  </si>
  <si>
    <t>1.650.000</t>
  </si>
  <si>
    <t>590.000</t>
  </si>
  <si>
    <t>9.100.000</t>
  </si>
  <si>
    <t>3.695.838</t>
  </si>
  <si>
    <t>788.000</t>
  </si>
  <si>
    <t>442.290</t>
  </si>
  <si>
    <t>90.000</t>
  </si>
  <si>
    <t>4.190.000</t>
  </si>
  <si>
    <t>4.447.683</t>
  </si>
  <si>
    <t>11.000.000</t>
  </si>
  <si>
    <t>1.000.000</t>
  </si>
  <si>
    <t>84.150</t>
  </si>
  <si>
    <t>70.000</t>
  </si>
  <si>
    <t>1.003.000</t>
  </si>
  <si>
    <t>310.000</t>
  </si>
  <si>
    <t>1.050.000</t>
  </si>
  <si>
    <t>312.467</t>
  </si>
  <si>
    <t>4.400.000</t>
  </si>
  <si>
    <t>340.454</t>
  </si>
  <si>
    <t>509.608</t>
  </si>
  <si>
    <t>1.682.538</t>
  </si>
  <si>
    <t>319.219</t>
  </si>
  <si>
    <t>130.000</t>
  </si>
  <si>
    <t>1.141.770</t>
  </si>
  <si>
    <t>1.235.000</t>
  </si>
  <si>
    <t>1.142.945</t>
  </si>
  <si>
    <t>585.444</t>
  </si>
  <si>
    <t>1.436</t>
  </si>
  <si>
    <t>42.200</t>
  </si>
  <si>
    <t>788.888</t>
  </si>
  <si>
    <t>449.366</t>
  </si>
  <si>
    <t>34.300</t>
  </si>
  <si>
    <t>9.233.158</t>
  </si>
  <si>
    <t>540.000</t>
  </si>
  <si>
    <t>460.369</t>
  </si>
  <si>
    <t>69.559</t>
  </si>
  <si>
    <t>2.548.558</t>
  </si>
  <si>
    <t>864.742</t>
  </si>
  <si>
    <t>600.691</t>
  </si>
  <si>
    <t>665.000</t>
  </si>
  <si>
    <t>432.300</t>
  </si>
  <si>
    <t>317.851</t>
  </si>
  <si>
    <t>185.000</t>
  </si>
  <si>
    <t>370.800</t>
  </si>
  <si>
    <t>310.142</t>
  </si>
  <si>
    <t>831.400</t>
  </si>
  <si>
    <t>851.410</t>
  </si>
  <si>
    <t>938.649</t>
  </si>
  <si>
    <t>132.648</t>
  </si>
  <si>
    <t>345.500</t>
  </si>
  <si>
    <t>67.000</t>
  </si>
  <si>
    <t>3.959.005</t>
  </si>
  <si>
    <t>158.000</t>
  </si>
  <si>
    <t>9.200</t>
  </si>
  <si>
    <t>1.055.000</t>
  </si>
  <si>
    <t>3.913.340</t>
  </si>
  <si>
    <t>14.000</t>
  </si>
  <si>
    <t>174.120</t>
  </si>
  <si>
    <t>1.007.540</t>
  </si>
  <si>
    <t>54.600</t>
  </si>
  <si>
    <t>210.308</t>
  </si>
  <si>
    <t>571.972</t>
  </si>
  <si>
    <t>811.442</t>
  </si>
  <si>
    <t>21.340</t>
  </si>
  <si>
    <t>1.934.000</t>
  </si>
  <si>
    <t>1.120.000</t>
  </si>
  <si>
    <t>2.820.000</t>
  </si>
  <si>
    <t>1.171.000</t>
  </si>
  <si>
    <t>384.000</t>
  </si>
  <si>
    <t>3.941</t>
  </si>
  <si>
    <t>4.219</t>
  </si>
  <si>
    <t>116.936</t>
  </si>
  <si>
    <t>2.200.000</t>
  </si>
  <si>
    <t>1.009.000</t>
  </si>
  <si>
    <t>202.903</t>
  </si>
  <si>
    <t>116.000</t>
  </si>
  <si>
    <t>2.607.168</t>
  </si>
  <si>
    <t>100.203</t>
  </si>
  <si>
    <t>685.096</t>
  </si>
  <si>
    <t>2.250</t>
  </si>
  <si>
    <t>1.720.000</t>
  </si>
  <si>
    <t>795.521</t>
  </si>
  <si>
    <t>3.715.000</t>
  </si>
  <si>
    <t>462.793</t>
  </si>
  <si>
    <t>131.520</t>
  </si>
  <si>
    <t>1.465.200</t>
  </si>
  <si>
    <t>805.000</t>
  </si>
  <si>
    <t>1.549.646</t>
  </si>
  <si>
    <t>98.526</t>
  </si>
  <si>
    <t>288.813</t>
  </si>
  <si>
    <t>4.667.920</t>
  </si>
  <si>
    <t>304.920</t>
  </si>
  <si>
    <t>58.695</t>
  </si>
  <si>
    <t>256.720</t>
  </si>
  <si>
    <t>59.000</t>
  </si>
  <si>
    <t>91.260</t>
  </si>
  <si>
    <t>420.000</t>
  </si>
  <si>
    <t>2.250.000</t>
  </si>
  <si>
    <t>4.580.500</t>
  </si>
  <si>
    <t>253.018</t>
  </si>
  <si>
    <t>1.919.876</t>
  </si>
  <si>
    <t>368.000</t>
  </si>
  <si>
    <t>1.170.000</t>
  </si>
  <si>
    <t>753.656</t>
  </si>
  <si>
    <t>522.000</t>
  </si>
  <si>
    <t>259.218</t>
  </si>
  <si>
    <t>3.377.368</t>
  </si>
  <si>
    <t>2.800.000</t>
  </si>
  <si>
    <t>203.000</t>
  </si>
  <si>
    <t>439.412</t>
  </si>
  <si>
    <t>1.200.000</t>
  </si>
  <si>
    <t>212.045</t>
  </si>
  <si>
    <t>1.550.000</t>
  </si>
  <si>
    <t>20.800</t>
  </si>
  <si>
    <t>172.800</t>
  </si>
  <si>
    <t>442.431</t>
  </si>
  <si>
    <t>148.000</t>
  </si>
  <si>
    <t>1.300.100</t>
  </si>
  <si>
    <t>454.398</t>
  </si>
  <si>
    <t>673.000</t>
  </si>
  <si>
    <t>1.031.120</t>
  </si>
  <si>
    <t>79.107</t>
  </si>
  <si>
    <t>440.900</t>
  </si>
  <si>
    <t>233.000</t>
  </si>
  <si>
    <t>140.765</t>
  </si>
  <si>
    <t>1.148.580</t>
  </si>
  <si>
    <t>4.382.152</t>
  </si>
  <si>
    <t>3.897.803</t>
  </si>
  <si>
    <t>1.500.000</t>
  </si>
  <si>
    <t>934.912</t>
  </si>
  <si>
    <t>82.129</t>
  </si>
  <si>
    <t>255.000</t>
  </si>
  <si>
    <t>6.511.184</t>
  </si>
  <si>
    <t>477.000</t>
  </si>
  <si>
    <t>1.444.873</t>
  </si>
  <si>
    <t>945.467</t>
  </si>
  <si>
    <t>599.248</t>
  </si>
  <si>
    <t>225.000</t>
  </si>
  <si>
    <t>1.117.449</t>
  </si>
  <si>
    <t>484.718</t>
  </si>
  <si>
    <t>2.613.347</t>
  </si>
  <si>
    <t>1.129.977</t>
  </si>
  <si>
    <t>40.300</t>
  </si>
  <si>
    <t>518.117</t>
  </si>
  <si>
    <t>5.142.610</t>
  </si>
  <si>
    <t>636</t>
  </si>
  <si>
    <t>40.100</t>
  </si>
  <si>
    <t>74.588</t>
  </si>
  <si>
    <t>4.775.025</t>
  </si>
  <si>
    <t>2.858.447</t>
  </si>
  <si>
    <t>403.674</t>
  </si>
  <si>
    <t>618.350</t>
  </si>
  <si>
    <t>2.587.000</t>
  </si>
  <si>
    <t>881.350</t>
  </si>
  <si>
    <t>4.573</t>
  </si>
  <si>
    <t>4.065.000</t>
  </si>
  <si>
    <t>432.000</t>
  </si>
  <si>
    <t>142.424</t>
  </si>
  <si>
    <t>48.338</t>
  </si>
  <si>
    <t>5.925.082</t>
  </si>
  <si>
    <t>545.211</t>
  </si>
  <si>
    <t>3.137.918</t>
  </si>
  <si>
    <t>1.133.327</t>
  </si>
  <si>
    <t>893.687</t>
  </si>
  <si>
    <t>296.360</t>
  </si>
  <si>
    <t>229.517</t>
  </si>
  <si>
    <t>566.000</t>
  </si>
  <si>
    <t>3.278.463</t>
  </si>
  <si>
    <t>2.086.420</t>
  </si>
  <si>
    <t>29.650</t>
  </si>
  <si>
    <t>1.126.993</t>
  </si>
  <si>
    <t>200.500</t>
  </si>
  <si>
    <t>412.136</t>
  </si>
  <si>
    <t>176.797</t>
  </si>
  <si>
    <t>155.397</t>
  </si>
  <si>
    <t>2.000.000</t>
  </si>
  <si>
    <t>61.500</t>
  </si>
  <si>
    <t>7.101.029</t>
  </si>
  <si>
    <t>8.000</t>
  </si>
  <si>
    <t>240.367</t>
  </si>
  <si>
    <t>7.221</t>
  </si>
  <si>
    <t>1.656.098</t>
  </si>
  <si>
    <t>1.646.800</t>
  </si>
  <si>
    <t>2.819.292</t>
  </si>
  <si>
    <t>25.500</t>
  </si>
  <si>
    <t>717.880</t>
  </si>
  <si>
    <t>880.000</t>
  </si>
  <si>
    <t>764.716</t>
  </si>
  <si>
    <t>600.000</t>
  </si>
  <si>
    <t>9.900</t>
  </si>
  <si>
    <t>108.987</t>
  </si>
  <si>
    <t>900.000</t>
  </si>
  <si>
    <t>103.300</t>
  </si>
  <si>
    <t>3.207.708</t>
  </si>
  <si>
    <t>37.500</t>
  </si>
  <si>
    <t>690.200</t>
  </si>
  <si>
    <t>232.546</t>
  </si>
  <si>
    <t>850.703</t>
  </si>
  <si>
    <t>127.580</t>
  </si>
  <si>
    <t>16.900</t>
  </si>
  <si>
    <t>415.618</t>
  </si>
  <si>
    <t>15.200</t>
  </si>
  <si>
    <t>316.220</t>
  </si>
  <si>
    <t>1.937.600</t>
  </si>
  <si>
    <t>1.282.681</t>
  </si>
  <si>
    <t>509.690</t>
  </si>
  <si>
    <t>171.300</t>
  </si>
  <si>
    <t>1.978.775</t>
  </si>
  <si>
    <t>1.384.000</t>
  </si>
  <si>
    <t>947.052</t>
  </si>
  <si>
    <t>1.005.700</t>
  </si>
  <si>
    <t>47.100</t>
  </si>
  <si>
    <t>1.118.940</t>
  </si>
  <si>
    <t>480.000</t>
  </si>
  <si>
    <t>607.640</t>
  </si>
  <si>
    <t>102.000</t>
  </si>
  <si>
    <t>722.455</t>
  </si>
  <si>
    <t>2.391.700</t>
  </si>
  <si>
    <t>121.420</t>
  </si>
  <si>
    <t>560.661</t>
  </si>
  <si>
    <t>20.700</t>
  </si>
  <si>
    <t>25.100</t>
  </si>
  <si>
    <t>1.460.000</t>
  </si>
  <si>
    <t>190.000</t>
  </si>
  <si>
    <t>51.000</t>
  </si>
  <si>
    <t>546.920</t>
  </si>
  <si>
    <t>262.560</t>
  </si>
  <si>
    <t>10.812</t>
  </si>
  <si>
    <t>42.000</t>
  </si>
  <si>
    <t>1.400.000</t>
  </si>
  <si>
    <t>3.532.500</t>
  </si>
  <si>
    <t>1.325.000</t>
  </si>
  <si>
    <t>1.573.765</t>
  </si>
  <si>
    <t>101.410</t>
  </si>
  <si>
    <t>2.610.500</t>
  </si>
  <si>
    <t>696.156</t>
  </si>
  <si>
    <t>160.000</t>
  </si>
  <si>
    <t>5.346.500</t>
  </si>
  <si>
    <t>162.899</t>
  </si>
  <si>
    <t>361.799</t>
  </si>
  <si>
    <t>636.677</t>
  </si>
  <si>
    <t>2.126.886</t>
  </si>
  <si>
    <t>8.280.000</t>
  </si>
  <si>
    <t>354.386</t>
  </si>
  <si>
    <t>241.360</t>
  </si>
  <si>
    <t>5.350.000</t>
  </si>
  <si>
    <t>1.600.000</t>
  </si>
  <si>
    <t>58.700</t>
  </si>
  <si>
    <t>7.000</t>
  </si>
  <si>
    <t>224.506</t>
  </si>
  <si>
    <t>920.000</t>
  </si>
  <si>
    <t>296.120</t>
  </si>
  <si>
    <t>14.996</t>
  </si>
  <si>
    <t>1.855.000</t>
  </si>
  <si>
    <t>232.813</t>
  </si>
  <si>
    <t>258.200</t>
  </si>
  <si>
    <t>3.219.528</t>
  </si>
  <si>
    <t>550.000</t>
  </si>
  <si>
    <t>98.530</t>
  </si>
  <si>
    <t>5.600</t>
  </si>
  <si>
    <t>2.938.498</t>
  </si>
  <si>
    <t>668.463</t>
  </si>
  <si>
    <t>551.307</t>
  </si>
  <si>
    <t>17.900</t>
  </si>
  <si>
    <t>2.916.715</t>
  </si>
  <si>
    <t>2.744.336</t>
  </si>
  <si>
    <t>752.000</t>
  </si>
  <si>
    <t>138.328</t>
  </si>
  <si>
    <t>460.720</t>
  </si>
  <si>
    <t>250.000</t>
  </si>
  <si>
    <t>7.579.118</t>
  </si>
  <si>
    <t>370.000</t>
  </si>
  <si>
    <t>403.707</t>
  </si>
  <si>
    <t>178.143</t>
  </si>
  <si>
    <t>120.000</t>
  </si>
  <si>
    <t>1.100.000</t>
  </si>
  <si>
    <t>357.867</t>
  </si>
  <si>
    <t>1.170.854</t>
  </si>
  <si>
    <t>19.952</t>
  </si>
  <si>
    <t>2.738.670</t>
  </si>
  <si>
    <t>410.363</t>
  </si>
  <si>
    <t>2.380.000</t>
  </si>
  <si>
    <t>1.900.314</t>
  </si>
  <si>
    <t>210.065</t>
  </si>
  <si>
    <t>846.305</t>
  </si>
  <si>
    <t>1.300.000</t>
  </si>
  <si>
    <t>768.000</t>
  </si>
  <si>
    <t>898.740</t>
  </si>
  <si>
    <t>5.743</t>
  </si>
  <si>
    <t>4.700.000</t>
  </si>
  <si>
    <t>772.590</t>
  </si>
  <si>
    <t>1.845.000</t>
  </si>
  <si>
    <t>68.000</t>
  </si>
  <si>
    <t>12.071.286</t>
  </si>
  <si>
    <t>2.500.000</t>
  </si>
  <si>
    <t>3.280</t>
  </si>
  <si>
    <t>2.269.835</t>
  </si>
  <si>
    <t>51.600</t>
  </si>
  <si>
    <t>5.725.200</t>
  </si>
  <si>
    <t>486.000</t>
  </si>
  <si>
    <t>174.000</t>
  </si>
  <si>
    <t>1.838.834</t>
  </si>
  <si>
    <t>3.884.351</t>
  </si>
  <si>
    <t>31.950</t>
  </si>
  <si>
    <t>203.952</t>
  </si>
  <si>
    <t>430.204</t>
  </si>
  <si>
    <t>PIB_MUN (RS 1.000)</t>
  </si>
  <si>
    <t>Galinaceos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</si>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</sst>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/>
    <xf numFmtId="1" fontId="0" fillId="0" borderId="0" xfId="1" applyNumberFormat="1" applyFont="1" applyAlignment="1">
      <alignment horizontal="right"/>
    </xf>
    <xf numFmtId="1" fontId="0" fillId="0" borderId="0" xfId="1" applyNumberFormat="1" applyFont="1"/>
    <xf numFmtId="164" fontId="0" fillId="0" borderId="0" xfId="0" applyNumberFormat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Border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0"/>
  <sheetViews>
    <sheetView tabSelected="1" workbookViewId="0">
      <selection activeCell="J2" sqref="J2"/>
    </sheetView>
  </sheetViews>
  <sheetFormatPr defaultRowHeight="15" x14ac:dyDescent="0.25"/>
  <cols>
    <col min="1" max="1" width="18.5703125" style="3" customWidth="1"/>
    <col min="2" max="2" width="17.42578125" style="3" customWidth="1"/>
    <col min="3" max="3" width="17.140625" style="1" bestFit="1" customWidth="1"/>
    <col min="4" max="4" width="16.85546875" style="1" customWidth="1"/>
    <col min="5" max="5" width="10.5703125" style="1" bestFit="1" customWidth="1"/>
    <col min="6" max="6" width="13.28515625" style="1" bestFit="1" customWidth="1"/>
    <col min="7" max="7" width="9.5703125" style="1" bestFit="1" customWidth="1"/>
    <col min="8" max="8" width="9.5703125" bestFit="1" customWidth="1"/>
    <col min="9" max="9" width="9.42578125" bestFit="1" customWidth="1"/>
    <col min="10" max="10" width="22.7109375" bestFit="1" customWidth="1"/>
    <col min="11" max="11" width="18.140625" bestFit="1" customWidth="1"/>
    <col min="12" max="12" width="17" style="11" bestFit="1" customWidth="1"/>
  </cols>
  <sheetData>
    <row r="1" spans="1:15" s="2" customFormat="1" x14ac:dyDescent="0.25">
      <c r="A1" s="2" t="s">
        <v>405</v>
      </c>
      <c r="B1" s="2" t="s">
        <v>406</v>
      </c>
      <c r="C1" s="2" t="s">
        <v>399</v>
      </c>
      <c r="D1" s="2" t="s">
        <v>794</v>
      </c>
      <c r="E1" s="2" t="s">
        <v>400</v>
      </c>
      <c r="F1" s="2" t="s">
        <v>401</v>
      </c>
      <c r="G1" s="2" t="s">
        <v>402</v>
      </c>
      <c r="H1" s="2" t="s">
        <v>403</v>
      </c>
      <c r="I1" s="2" t="s">
        <v>404</v>
      </c>
      <c r="J1" s="2" t="s">
        <v>795</v>
      </c>
      <c r="K1" s="2" t="s">
        <v>423</v>
      </c>
      <c r="L1" s="8" t="s">
        <v>793</v>
      </c>
    </row>
    <row r="2" spans="1:15" x14ac:dyDescent="0.25">
      <c r="A2" s="3">
        <v>4100103</v>
      </c>
      <c r="B2" s="3" t="s">
        <v>184</v>
      </c>
      <c r="C2" s="6">
        <v>14576</v>
      </c>
      <c r="D2">
        <v>669500</v>
      </c>
      <c r="E2" s="6">
        <v>222</v>
      </c>
      <c r="F2" s="6">
        <v>273</v>
      </c>
      <c r="G2" s="6">
        <v>449</v>
      </c>
      <c r="H2" s="7">
        <v>25</v>
      </c>
      <c r="I2" s="7">
        <v>61</v>
      </c>
      <c r="J2" s="7">
        <f>SUM(C2+D2+E2+F2+G2+H2+I2)</f>
        <v>685106</v>
      </c>
      <c r="K2" s="5">
        <v>202686108.96000001</v>
      </c>
      <c r="L2" s="9">
        <v>239709</v>
      </c>
      <c r="N2" s="4" t="s">
        <v>424</v>
      </c>
      <c r="O2">
        <f>N2*1</f>
        <v>669500</v>
      </c>
    </row>
    <row r="3" spans="1:15" x14ac:dyDescent="0.25">
      <c r="A3" s="3">
        <v>4100202</v>
      </c>
      <c r="B3" s="3" t="s">
        <v>29</v>
      </c>
      <c r="C3" s="6">
        <v>14122</v>
      </c>
      <c r="D3">
        <v>15600</v>
      </c>
      <c r="E3" s="6">
        <v>223</v>
      </c>
      <c r="F3" s="6">
        <v>200</v>
      </c>
      <c r="G3" s="6">
        <v>304</v>
      </c>
      <c r="H3" s="7">
        <v>2</v>
      </c>
      <c r="I3" s="7">
        <v>123</v>
      </c>
      <c r="J3" s="7">
        <f t="shared" ref="J3:J66" si="0">SUM(C3+D3+E3+F3+G3+H3+I3)</f>
        <v>30574</v>
      </c>
      <c r="K3" s="5">
        <v>202418699.75999999</v>
      </c>
      <c r="L3" s="9">
        <v>285534</v>
      </c>
      <c r="N3" s="4" t="s">
        <v>421</v>
      </c>
      <c r="O3">
        <f t="shared" ref="O3:O66" si="1">N3*1</f>
        <v>15600</v>
      </c>
    </row>
    <row r="4" spans="1:15" x14ac:dyDescent="0.25">
      <c r="A4" s="3">
        <v>4100301</v>
      </c>
      <c r="B4" s="3" t="s">
        <v>212</v>
      </c>
      <c r="C4" s="6">
        <v>1499</v>
      </c>
      <c r="D4">
        <v>28000</v>
      </c>
      <c r="E4" s="6">
        <v>587</v>
      </c>
      <c r="F4" s="6">
        <v>724</v>
      </c>
      <c r="G4" s="6">
        <v>407</v>
      </c>
      <c r="H4" s="7">
        <v>67</v>
      </c>
      <c r="I4" s="7">
        <v>6</v>
      </c>
      <c r="J4" s="7">
        <f t="shared" si="0"/>
        <v>31290</v>
      </c>
      <c r="K4" s="5">
        <v>144575533.37</v>
      </c>
      <c r="L4" s="9">
        <v>207540</v>
      </c>
      <c r="N4" s="4" t="s">
        <v>425</v>
      </c>
      <c r="O4">
        <f t="shared" si="1"/>
        <v>28000</v>
      </c>
    </row>
    <row r="5" spans="1:15" x14ac:dyDescent="0.25">
      <c r="A5" s="3">
        <v>4100400</v>
      </c>
      <c r="B5" s="3" t="s">
        <v>209</v>
      </c>
      <c r="C5" s="6">
        <v>430</v>
      </c>
      <c r="D5">
        <v>41000</v>
      </c>
      <c r="E5" s="6">
        <v>531</v>
      </c>
      <c r="F5" s="6">
        <v>59</v>
      </c>
      <c r="G5" s="6">
        <v>457</v>
      </c>
      <c r="H5" s="7">
        <v>31</v>
      </c>
      <c r="I5" s="7">
        <v>6</v>
      </c>
      <c r="J5" s="7">
        <f t="shared" si="0"/>
        <v>42514</v>
      </c>
      <c r="K5" s="5">
        <v>114465601.68000001</v>
      </c>
      <c r="L5" s="9">
        <v>1705684</v>
      </c>
      <c r="N5" s="4" t="s">
        <v>426</v>
      </c>
      <c r="O5">
        <f t="shared" si="1"/>
        <v>41000</v>
      </c>
    </row>
    <row r="6" spans="1:15" x14ac:dyDescent="0.25">
      <c r="A6" s="3">
        <v>4100459</v>
      </c>
      <c r="B6" s="3" t="s">
        <v>136</v>
      </c>
      <c r="C6" s="6">
        <v>64531</v>
      </c>
      <c r="D6">
        <v>315020</v>
      </c>
      <c r="E6" s="6">
        <v>1193</v>
      </c>
      <c r="F6" s="6">
        <v>999</v>
      </c>
      <c r="G6" s="6">
        <v>1152</v>
      </c>
      <c r="H6" s="7">
        <v>114</v>
      </c>
      <c r="I6" s="7">
        <v>186</v>
      </c>
      <c r="J6" s="7">
        <f t="shared" si="0"/>
        <v>383195</v>
      </c>
      <c r="K6" s="5">
        <v>166065150.27000001</v>
      </c>
      <c r="L6" s="9">
        <v>83722</v>
      </c>
      <c r="N6" s="4" t="s">
        <v>427</v>
      </c>
      <c r="O6">
        <f t="shared" si="1"/>
        <v>315020</v>
      </c>
    </row>
    <row r="7" spans="1:15" x14ac:dyDescent="0.25">
      <c r="A7" s="3">
        <v>4128625</v>
      </c>
      <c r="B7" s="3" t="s">
        <v>382</v>
      </c>
      <c r="C7" s="6">
        <v>106136</v>
      </c>
      <c r="D7">
        <v>95000</v>
      </c>
      <c r="E7" s="6">
        <v>1552</v>
      </c>
      <c r="F7" s="6">
        <v>112</v>
      </c>
      <c r="G7" s="6">
        <v>1280</v>
      </c>
      <c r="H7" s="7">
        <v>0</v>
      </c>
      <c r="I7" s="7">
        <v>172</v>
      </c>
      <c r="J7" s="7">
        <f t="shared" si="0"/>
        <v>204252</v>
      </c>
      <c r="K7" s="5">
        <v>439925205.92000002</v>
      </c>
      <c r="L7" s="9">
        <v>104268</v>
      </c>
      <c r="N7" s="4" t="s">
        <v>419</v>
      </c>
      <c r="O7">
        <f t="shared" si="1"/>
        <v>95000</v>
      </c>
    </row>
    <row r="8" spans="1:15" x14ac:dyDescent="0.25">
      <c r="A8" s="3">
        <v>4100608</v>
      </c>
      <c r="B8" s="3" t="s">
        <v>336</v>
      </c>
      <c r="C8" s="6">
        <v>41908</v>
      </c>
      <c r="D8">
        <v>3104553</v>
      </c>
      <c r="E8" s="6">
        <v>522</v>
      </c>
      <c r="F8" s="6">
        <v>984</v>
      </c>
      <c r="G8" s="6">
        <v>549</v>
      </c>
      <c r="H8" s="7">
        <v>10</v>
      </c>
      <c r="I8" s="7">
        <v>25</v>
      </c>
      <c r="J8" s="7">
        <f t="shared" si="0"/>
        <v>3148551</v>
      </c>
      <c r="K8" s="5">
        <v>674083403.54999995</v>
      </c>
      <c r="L8" s="9">
        <v>313270</v>
      </c>
      <c r="N8" s="4" t="s">
        <v>428</v>
      </c>
      <c r="O8">
        <f t="shared" si="1"/>
        <v>3104553</v>
      </c>
    </row>
    <row r="9" spans="1:15" x14ac:dyDescent="0.25">
      <c r="A9" s="3">
        <v>4100707</v>
      </c>
      <c r="B9" s="3" t="s">
        <v>385</v>
      </c>
      <c r="C9" s="6">
        <v>6596</v>
      </c>
      <c r="D9">
        <v>215000</v>
      </c>
      <c r="E9" s="6">
        <v>243</v>
      </c>
      <c r="F9" s="6">
        <v>320</v>
      </c>
      <c r="G9" s="6">
        <v>175</v>
      </c>
      <c r="H9" s="7">
        <v>0</v>
      </c>
      <c r="I9" s="7">
        <v>9</v>
      </c>
      <c r="J9" s="7">
        <f t="shared" si="0"/>
        <v>222343</v>
      </c>
      <c r="K9" s="5">
        <v>313814839.48000002</v>
      </c>
      <c r="L9" s="9">
        <v>349875</v>
      </c>
      <c r="N9" s="4" t="s">
        <v>429</v>
      </c>
      <c r="O9">
        <f t="shared" si="1"/>
        <v>215000</v>
      </c>
    </row>
    <row r="10" spans="1:15" x14ac:dyDescent="0.25">
      <c r="A10" s="3">
        <v>4100509</v>
      </c>
      <c r="B10" s="3" t="s">
        <v>115</v>
      </c>
      <c r="C10" s="6">
        <v>64867</v>
      </c>
      <c r="D10">
        <v>1536000</v>
      </c>
      <c r="E10" s="6">
        <v>993</v>
      </c>
      <c r="F10" s="6">
        <v>3841</v>
      </c>
      <c r="G10" s="6">
        <v>476</v>
      </c>
      <c r="H10" s="7">
        <v>28</v>
      </c>
      <c r="I10" s="7">
        <v>22</v>
      </c>
      <c r="J10" s="7">
        <f t="shared" si="0"/>
        <v>1606227</v>
      </c>
      <c r="K10" s="5">
        <v>417363375.98000002</v>
      </c>
      <c r="L10" s="9">
        <v>419558</v>
      </c>
      <c r="N10" s="4" t="s">
        <v>430</v>
      </c>
      <c r="O10">
        <f t="shared" si="1"/>
        <v>1536000</v>
      </c>
    </row>
    <row r="11" spans="1:15" x14ac:dyDescent="0.25">
      <c r="A11" s="3">
        <v>4100806</v>
      </c>
      <c r="B11" s="3" t="s">
        <v>281</v>
      </c>
      <c r="C11" s="6">
        <v>4324</v>
      </c>
      <c r="D11">
        <v>320221</v>
      </c>
      <c r="E11" s="6">
        <v>273</v>
      </c>
      <c r="F11" s="6">
        <v>488</v>
      </c>
      <c r="G11" s="6">
        <v>170</v>
      </c>
      <c r="H11" s="7">
        <v>50</v>
      </c>
      <c r="I11" s="7">
        <v>9</v>
      </c>
      <c r="J11" s="7">
        <f t="shared" si="0"/>
        <v>325535</v>
      </c>
      <c r="K11" s="5">
        <v>267982914.34</v>
      </c>
      <c r="L11" s="9">
        <v>362005</v>
      </c>
      <c r="N11" s="4" t="s">
        <v>431</v>
      </c>
      <c r="O11">
        <f t="shared" si="1"/>
        <v>320221</v>
      </c>
    </row>
    <row r="12" spans="1:15" x14ac:dyDescent="0.25">
      <c r="A12" s="3">
        <v>4100905</v>
      </c>
      <c r="B12" s="3" t="s">
        <v>337</v>
      </c>
      <c r="C12" s="6">
        <v>38284</v>
      </c>
      <c r="D12">
        <v>28700</v>
      </c>
      <c r="E12" s="6">
        <v>302</v>
      </c>
      <c r="F12" s="6">
        <v>231</v>
      </c>
      <c r="G12" s="6">
        <v>495</v>
      </c>
      <c r="H12" s="7">
        <v>1</v>
      </c>
      <c r="I12" s="7">
        <v>23</v>
      </c>
      <c r="J12" s="7">
        <f t="shared" si="0"/>
        <v>68036</v>
      </c>
      <c r="K12" s="5">
        <v>259677882.94</v>
      </c>
      <c r="L12" s="9">
        <v>121412</v>
      </c>
      <c r="N12" s="4" t="s">
        <v>432</v>
      </c>
      <c r="O12">
        <f t="shared" si="1"/>
        <v>28700</v>
      </c>
    </row>
    <row r="13" spans="1:15" x14ac:dyDescent="0.25">
      <c r="A13" s="3">
        <v>4101002</v>
      </c>
      <c r="B13" s="3" t="s">
        <v>223</v>
      </c>
      <c r="C13" s="6">
        <v>31625</v>
      </c>
      <c r="D13">
        <v>3619832</v>
      </c>
      <c r="E13" s="6">
        <v>1358</v>
      </c>
      <c r="F13" s="6">
        <v>12392</v>
      </c>
      <c r="G13" s="6">
        <v>500</v>
      </c>
      <c r="H13" s="7">
        <v>50</v>
      </c>
      <c r="I13" s="7">
        <v>22</v>
      </c>
      <c r="J13" s="7">
        <f t="shared" si="0"/>
        <v>3665779</v>
      </c>
      <c r="K13" s="5">
        <v>494307175.56</v>
      </c>
      <c r="L13" s="9">
        <v>650836</v>
      </c>
      <c r="N13" s="4" t="s">
        <v>433</v>
      </c>
      <c r="O13">
        <f t="shared" si="1"/>
        <v>3619832</v>
      </c>
    </row>
    <row r="14" spans="1:15" x14ac:dyDescent="0.25">
      <c r="A14" s="3">
        <v>4101051</v>
      </c>
      <c r="B14" s="3" t="s">
        <v>168</v>
      </c>
      <c r="C14" s="6">
        <v>4534</v>
      </c>
      <c r="D14">
        <v>780400</v>
      </c>
      <c r="E14" s="6">
        <v>103</v>
      </c>
      <c r="F14" s="6">
        <v>209</v>
      </c>
      <c r="G14" s="6">
        <v>68</v>
      </c>
      <c r="H14" s="7">
        <v>0</v>
      </c>
      <c r="I14" s="7">
        <v>0</v>
      </c>
      <c r="J14" s="7">
        <f t="shared" si="0"/>
        <v>785314</v>
      </c>
      <c r="K14" s="5">
        <v>210445194.69</v>
      </c>
      <c r="L14" s="9">
        <v>120614</v>
      </c>
      <c r="N14" s="4" t="s">
        <v>434</v>
      </c>
      <c r="O14">
        <f t="shared" si="1"/>
        <v>780400</v>
      </c>
    </row>
    <row r="15" spans="1:15" x14ac:dyDescent="0.25">
      <c r="A15" s="3">
        <v>4101101</v>
      </c>
      <c r="B15" s="3" t="s">
        <v>185</v>
      </c>
      <c r="C15" s="6">
        <v>1498</v>
      </c>
      <c r="D15">
        <v>640000</v>
      </c>
      <c r="E15" s="6">
        <v>224</v>
      </c>
      <c r="F15" s="6">
        <v>225</v>
      </c>
      <c r="G15" s="6">
        <v>56</v>
      </c>
      <c r="H15" s="7">
        <v>9</v>
      </c>
      <c r="I15" s="7">
        <v>1</v>
      </c>
      <c r="J15" s="7">
        <f t="shared" si="0"/>
        <v>642013</v>
      </c>
      <c r="K15" s="5">
        <v>200771138.11000001</v>
      </c>
      <c r="L15" s="9">
        <v>785931</v>
      </c>
      <c r="N15" s="4" t="s">
        <v>435</v>
      </c>
      <c r="O15">
        <f t="shared" si="1"/>
        <v>640000</v>
      </c>
    </row>
    <row r="16" spans="1:15" x14ac:dyDescent="0.25">
      <c r="A16" s="3">
        <v>4101150</v>
      </c>
      <c r="B16" s="3" t="s">
        <v>293</v>
      </c>
      <c r="C16" s="6">
        <v>7514</v>
      </c>
      <c r="D16">
        <v>873000</v>
      </c>
      <c r="E16" s="6">
        <v>133</v>
      </c>
      <c r="F16" s="6">
        <v>465</v>
      </c>
      <c r="G16" s="6">
        <v>104</v>
      </c>
      <c r="H16" s="7">
        <v>0</v>
      </c>
      <c r="I16" s="7">
        <v>6</v>
      </c>
      <c r="J16" s="7">
        <f t="shared" si="0"/>
        <v>881222</v>
      </c>
      <c r="K16" s="5">
        <v>221338997.96000001</v>
      </c>
      <c r="L16" s="9">
        <v>139747</v>
      </c>
      <c r="N16" s="4" t="s">
        <v>436</v>
      </c>
      <c r="O16">
        <f t="shared" si="1"/>
        <v>873000</v>
      </c>
    </row>
    <row r="17" spans="1:15" x14ac:dyDescent="0.25">
      <c r="A17" s="3">
        <v>4101200</v>
      </c>
      <c r="B17" s="3" t="s">
        <v>82</v>
      </c>
      <c r="C17" s="6">
        <v>304</v>
      </c>
      <c r="D17">
        <v>5538</v>
      </c>
      <c r="E17" s="6">
        <v>61</v>
      </c>
      <c r="F17" s="6">
        <v>126</v>
      </c>
      <c r="G17" s="6">
        <v>104</v>
      </c>
      <c r="H17" s="7">
        <v>30</v>
      </c>
      <c r="I17" s="7">
        <v>3</v>
      </c>
      <c r="J17" s="7">
        <f t="shared" si="0"/>
        <v>6166</v>
      </c>
      <c r="K17" s="5">
        <v>48980763.369999997</v>
      </c>
      <c r="L17" s="9">
        <v>573971</v>
      </c>
      <c r="N17" s="4" t="s">
        <v>437</v>
      </c>
      <c r="O17">
        <f t="shared" si="1"/>
        <v>5538</v>
      </c>
    </row>
    <row r="18" spans="1:15" x14ac:dyDescent="0.25">
      <c r="A18" s="3">
        <v>4101309</v>
      </c>
      <c r="B18" s="3" t="s">
        <v>394</v>
      </c>
      <c r="C18" s="6">
        <v>3423</v>
      </c>
      <c r="D18">
        <v>25000</v>
      </c>
      <c r="E18" s="6">
        <v>844</v>
      </c>
      <c r="F18" s="6">
        <v>2036</v>
      </c>
      <c r="G18" s="6">
        <v>552</v>
      </c>
      <c r="H18" s="7">
        <v>41</v>
      </c>
      <c r="I18" s="7">
        <v>11</v>
      </c>
      <c r="J18" s="7">
        <f t="shared" si="0"/>
        <v>31907</v>
      </c>
      <c r="K18" s="5">
        <v>380934269.13</v>
      </c>
      <c r="L18" s="9">
        <v>214047</v>
      </c>
      <c r="N18" s="4" t="s">
        <v>438</v>
      </c>
      <c r="O18">
        <f t="shared" si="1"/>
        <v>25000</v>
      </c>
    </row>
    <row r="19" spans="1:15" x14ac:dyDescent="0.25">
      <c r="A19" s="3">
        <v>4101408</v>
      </c>
      <c r="B19" s="3" t="s">
        <v>0</v>
      </c>
      <c r="C19" s="6">
        <v>16423</v>
      </c>
      <c r="D19">
        <v>3705558</v>
      </c>
      <c r="E19" s="6">
        <v>928</v>
      </c>
      <c r="F19" s="6">
        <v>582</v>
      </c>
      <c r="G19" s="6">
        <v>966</v>
      </c>
      <c r="H19" s="7">
        <v>207</v>
      </c>
      <c r="I19" s="7">
        <v>65</v>
      </c>
      <c r="J19" s="7">
        <f t="shared" si="0"/>
        <v>3724729</v>
      </c>
      <c r="K19" s="5">
        <v>752534553.59000003</v>
      </c>
      <c r="L19" s="9">
        <v>3336786</v>
      </c>
      <c r="N19" s="4" t="s">
        <v>439</v>
      </c>
      <c r="O19">
        <f t="shared" si="1"/>
        <v>3705558</v>
      </c>
    </row>
    <row r="20" spans="1:15" x14ac:dyDescent="0.25">
      <c r="A20" s="3">
        <v>4101507</v>
      </c>
      <c r="B20" s="3" t="s">
        <v>1</v>
      </c>
      <c r="C20" s="6">
        <v>4454</v>
      </c>
      <c r="D20">
        <v>5650200</v>
      </c>
      <c r="E20" s="6">
        <v>406</v>
      </c>
      <c r="F20" s="6">
        <v>6598</v>
      </c>
      <c r="G20" s="6">
        <v>305</v>
      </c>
      <c r="H20" s="7">
        <v>13</v>
      </c>
      <c r="I20" s="7">
        <v>48</v>
      </c>
      <c r="J20" s="7">
        <f t="shared" si="0"/>
        <v>5662024</v>
      </c>
      <c r="K20" s="5">
        <v>584575238.96000004</v>
      </c>
      <c r="L20" s="9">
        <v>4466438</v>
      </c>
      <c r="N20" s="4" t="s">
        <v>440</v>
      </c>
      <c r="O20">
        <f t="shared" si="1"/>
        <v>5650200</v>
      </c>
    </row>
    <row r="21" spans="1:15" x14ac:dyDescent="0.25">
      <c r="A21" s="3">
        <v>4101606</v>
      </c>
      <c r="B21" s="3" t="s">
        <v>102</v>
      </c>
      <c r="C21" s="6">
        <v>49970</v>
      </c>
      <c r="D21">
        <v>144824</v>
      </c>
      <c r="E21" s="6">
        <v>1645</v>
      </c>
      <c r="F21" s="6">
        <v>127868</v>
      </c>
      <c r="G21" s="6">
        <v>903</v>
      </c>
      <c r="H21" s="7">
        <v>101</v>
      </c>
      <c r="I21" s="7">
        <v>67</v>
      </c>
      <c r="J21" s="7">
        <f t="shared" si="0"/>
        <v>325378</v>
      </c>
      <c r="K21" s="5">
        <v>1405958028.5799999</v>
      </c>
      <c r="L21" s="9">
        <v>1280015</v>
      </c>
      <c r="N21" s="4" t="s">
        <v>441</v>
      </c>
      <c r="O21">
        <f t="shared" si="1"/>
        <v>144824</v>
      </c>
    </row>
    <row r="22" spans="1:15" x14ac:dyDescent="0.25">
      <c r="A22" s="3">
        <v>4101655</v>
      </c>
      <c r="B22" s="3" t="s">
        <v>251</v>
      </c>
      <c r="C22" s="6">
        <v>17917</v>
      </c>
      <c r="D22">
        <v>30000</v>
      </c>
      <c r="E22" s="6">
        <v>200</v>
      </c>
      <c r="F22" s="6">
        <v>661</v>
      </c>
      <c r="G22" s="6">
        <v>326</v>
      </c>
      <c r="H22" s="7">
        <v>26</v>
      </c>
      <c r="I22" s="7">
        <v>29</v>
      </c>
      <c r="J22" s="7">
        <f t="shared" si="0"/>
        <v>49159</v>
      </c>
      <c r="K22" s="5">
        <v>163381187.02000001</v>
      </c>
      <c r="L22" s="9">
        <v>127735</v>
      </c>
      <c r="N22" s="4" t="s">
        <v>408</v>
      </c>
      <c r="O22">
        <f t="shared" si="1"/>
        <v>30000</v>
      </c>
    </row>
    <row r="23" spans="1:15" x14ac:dyDescent="0.25">
      <c r="A23" s="3">
        <v>4101705</v>
      </c>
      <c r="B23" s="3" t="s">
        <v>138</v>
      </c>
      <c r="C23" s="6">
        <v>17131</v>
      </c>
      <c r="D23">
        <v>1970405</v>
      </c>
      <c r="E23" s="6">
        <v>760</v>
      </c>
      <c r="F23" s="6">
        <v>791</v>
      </c>
      <c r="G23" s="6">
        <v>356</v>
      </c>
      <c r="H23" s="7">
        <v>29</v>
      </c>
      <c r="I23" s="7">
        <v>38</v>
      </c>
      <c r="J23" s="7">
        <f t="shared" si="0"/>
        <v>1989510</v>
      </c>
      <c r="K23" s="5">
        <v>455037129.92000002</v>
      </c>
      <c r="L23" s="9">
        <v>533674</v>
      </c>
      <c r="N23" s="4" t="s">
        <v>442</v>
      </c>
      <c r="O23">
        <f t="shared" si="1"/>
        <v>1970405</v>
      </c>
    </row>
    <row r="24" spans="1:15" x14ac:dyDescent="0.25">
      <c r="A24" s="3">
        <v>4101804</v>
      </c>
      <c r="B24" s="3" t="s">
        <v>199</v>
      </c>
      <c r="C24" s="6">
        <v>4063</v>
      </c>
      <c r="D24">
        <v>520185</v>
      </c>
      <c r="E24" s="6">
        <v>1674</v>
      </c>
      <c r="F24" s="6">
        <v>10587</v>
      </c>
      <c r="G24" s="6">
        <v>1571</v>
      </c>
      <c r="H24" s="7">
        <v>346</v>
      </c>
      <c r="I24" s="7">
        <v>38</v>
      </c>
      <c r="J24" s="7">
        <f t="shared" si="0"/>
        <v>538464</v>
      </c>
      <c r="K24" s="5">
        <v>464862983.17000002</v>
      </c>
      <c r="L24" s="9">
        <v>19686155</v>
      </c>
      <c r="N24" s="4" t="s">
        <v>443</v>
      </c>
      <c r="O24">
        <f t="shared" si="1"/>
        <v>520185</v>
      </c>
    </row>
    <row r="25" spans="1:15" x14ac:dyDescent="0.25">
      <c r="A25" s="3">
        <v>4101853</v>
      </c>
      <c r="B25" s="3" t="s">
        <v>252</v>
      </c>
      <c r="C25" s="6">
        <v>7566</v>
      </c>
      <c r="D25">
        <v>7498</v>
      </c>
      <c r="E25" s="6">
        <v>345</v>
      </c>
      <c r="F25" s="6">
        <v>330</v>
      </c>
      <c r="G25" s="6">
        <v>222</v>
      </c>
      <c r="H25" s="7">
        <v>3</v>
      </c>
      <c r="I25" s="7">
        <v>10</v>
      </c>
      <c r="J25" s="7">
        <f t="shared" si="0"/>
        <v>15974</v>
      </c>
      <c r="K25" s="5">
        <v>173767653.06</v>
      </c>
      <c r="L25" s="9">
        <v>125255</v>
      </c>
      <c r="N25" s="4" t="s">
        <v>444</v>
      </c>
      <c r="O25">
        <f t="shared" si="1"/>
        <v>7498</v>
      </c>
    </row>
    <row r="26" spans="1:15" x14ac:dyDescent="0.25">
      <c r="A26" s="3">
        <v>4101903</v>
      </c>
      <c r="B26" s="3" t="s">
        <v>24</v>
      </c>
      <c r="C26" s="6">
        <v>9108</v>
      </c>
      <c r="D26">
        <v>125310</v>
      </c>
      <c r="E26" s="6">
        <v>152</v>
      </c>
      <c r="F26" s="6">
        <v>374</v>
      </c>
      <c r="G26" s="6">
        <v>359</v>
      </c>
      <c r="H26" s="7">
        <v>15</v>
      </c>
      <c r="I26" s="7">
        <v>31</v>
      </c>
      <c r="J26" s="7">
        <f t="shared" si="0"/>
        <v>135349</v>
      </c>
      <c r="K26" s="5">
        <v>275800039.60000002</v>
      </c>
      <c r="L26" s="9">
        <v>495664</v>
      </c>
      <c r="N26" s="4" t="s">
        <v>445</v>
      </c>
      <c r="O26">
        <f t="shared" si="1"/>
        <v>125310</v>
      </c>
    </row>
    <row r="27" spans="1:15" x14ac:dyDescent="0.25">
      <c r="A27" s="3">
        <v>4102000</v>
      </c>
      <c r="B27" s="3" t="s">
        <v>109</v>
      </c>
      <c r="C27" s="6">
        <v>7133</v>
      </c>
      <c r="D27">
        <v>8638893</v>
      </c>
      <c r="E27" s="6">
        <v>567</v>
      </c>
      <c r="F27" s="6">
        <v>41822</v>
      </c>
      <c r="G27" s="6">
        <v>157</v>
      </c>
      <c r="H27" s="7">
        <v>106</v>
      </c>
      <c r="I27" s="7">
        <v>13</v>
      </c>
      <c r="J27" s="7">
        <f t="shared" si="0"/>
        <v>8688691</v>
      </c>
      <c r="K27" s="5">
        <v>1859382145.0699999</v>
      </c>
      <c r="L27" s="9">
        <v>1395047</v>
      </c>
      <c r="N27" s="4" t="s">
        <v>446</v>
      </c>
      <c r="O27">
        <f t="shared" si="1"/>
        <v>8638893</v>
      </c>
    </row>
    <row r="28" spans="1:15" x14ac:dyDescent="0.25">
      <c r="A28" s="3">
        <v>4102109</v>
      </c>
      <c r="B28" s="3" t="s">
        <v>76</v>
      </c>
      <c r="C28" s="6">
        <v>24025</v>
      </c>
      <c r="D28">
        <v>4280200</v>
      </c>
      <c r="E28" s="6">
        <v>727</v>
      </c>
      <c r="F28" s="6">
        <v>1503</v>
      </c>
      <c r="G28" s="6">
        <v>548</v>
      </c>
      <c r="H28" s="7">
        <v>82</v>
      </c>
      <c r="I28" s="7">
        <v>34</v>
      </c>
      <c r="J28" s="7">
        <f t="shared" si="0"/>
        <v>4307119</v>
      </c>
      <c r="K28" s="5">
        <v>1093869168.6500001</v>
      </c>
      <c r="L28" s="9">
        <v>868865</v>
      </c>
      <c r="N28" s="4" t="s">
        <v>447</v>
      </c>
      <c r="O28">
        <f t="shared" si="1"/>
        <v>4280200</v>
      </c>
    </row>
    <row r="29" spans="1:15" x14ac:dyDescent="0.25">
      <c r="A29" s="3">
        <v>4102208</v>
      </c>
      <c r="B29" s="3" t="s">
        <v>313</v>
      </c>
      <c r="C29" s="6">
        <v>6698</v>
      </c>
      <c r="D29">
        <v>759000</v>
      </c>
      <c r="E29" s="6">
        <v>362</v>
      </c>
      <c r="F29" s="6">
        <v>446</v>
      </c>
      <c r="G29" s="6">
        <v>132</v>
      </c>
      <c r="H29" s="7">
        <v>8</v>
      </c>
      <c r="I29" s="7">
        <v>4</v>
      </c>
      <c r="J29" s="7">
        <f t="shared" si="0"/>
        <v>766650</v>
      </c>
      <c r="K29" s="5">
        <v>254822723.03</v>
      </c>
      <c r="L29" s="9">
        <v>184770</v>
      </c>
      <c r="N29" s="4" t="s">
        <v>448</v>
      </c>
      <c r="O29">
        <f t="shared" si="1"/>
        <v>759000</v>
      </c>
    </row>
    <row r="30" spans="1:15" x14ac:dyDescent="0.25">
      <c r="A30" s="3">
        <v>4102307</v>
      </c>
      <c r="B30" s="3" t="s">
        <v>200</v>
      </c>
      <c r="C30" s="6">
        <v>8023</v>
      </c>
      <c r="D30">
        <v>53505</v>
      </c>
      <c r="E30" s="6">
        <v>2173</v>
      </c>
      <c r="F30" s="6">
        <v>190</v>
      </c>
      <c r="G30" s="6">
        <v>2114</v>
      </c>
      <c r="H30" s="7">
        <v>63</v>
      </c>
      <c r="I30" s="7">
        <v>22</v>
      </c>
      <c r="J30" s="7">
        <f t="shared" si="0"/>
        <v>66090</v>
      </c>
      <c r="K30" s="5">
        <v>197479757.02000001</v>
      </c>
      <c r="L30" s="9">
        <v>710719</v>
      </c>
      <c r="N30" s="4" t="s">
        <v>449</v>
      </c>
      <c r="O30">
        <f t="shared" si="1"/>
        <v>53505</v>
      </c>
    </row>
    <row r="31" spans="1:15" x14ac:dyDescent="0.25">
      <c r="A31" s="3">
        <v>4102406</v>
      </c>
      <c r="B31" s="3" t="s">
        <v>26</v>
      </c>
      <c r="C31" s="6">
        <v>9158</v>
      </c>
      <c r="D31">
        <v>572100</v>
      </c>
      <c r="E31" s="6">
        <v>567</v>
      </c>
      <c r="F31" s="6">
        <v>397</v>
      </c>
      <c r="G31" s="6">
        <v>455</v>
      </c>
      <c r="H31" s="7">
        <v>33</v>
      </c>
      <c r="I31" s="7">
        <v>32</v>
      </c>
      <c r="J31" s="7">
        <f t="shared" si="0"/>
        <v>582742</v>
      </c>
      <c r="K31" s="5">
        <v>315780404.63999999</v>
      </c>
      <c r="L31" s="9">
        <v>1004080</v>
      </c>
      <c r="N31" s="4" t="s">
        <v>450</v>
      </c>
      <c r="O31">
        <f t="shared" si="1"/>
        <v>572100</v>
      </c>
    </row>
    <row r="32" spans="1:15" x14ac:dyDescent="0.25">
      <c r="A32" s="3">
        <v>4102505</v>
      </c>
      <c r="B32" s="3" t="s">
        <v>142</v>
      </c>
      <c r="C32" s="6">
        <v>45088</v>
      </c>
      <c r="D32">
        <v>345208</v>
      </c>
      <c r="E32" s="6">
        <v>923</v>
      </c>
      <c r="F32" s="6">
        <v>1561</v>
      </c>
      <c r="G32" s="6">
        <v>968</v>
      </c>
      <c r="H32" s="7">
        <v>20</v>
      </c>
      <c r="I32" s="7">
        <v>131</v>
      </c>
      <c r="J32" s="7">
        <f t="shared" si="0"/>
        <v>393899</v>
      </c>
      <c r="K32" s="5">
        <v>266536730.58000001</v>
      </c>
      <c r="L32" s="9">
        <v>281820</v>
      </c>
      <c r="N32" s="4" t="s">
        <v>451</v>
      </c>
      <c r="O32">
        <f t="shared" si="1"/>
        <v>345208</v>
      </c>
    </row>
    <row r="33" spans="1:15" x14ac:dyDescent="0.25">
      <c r="A33" s="3">
        <v>4102703</v>
      </c>
      <c r="B33" s="3" t="s">
        <v>264</v>
      </c>
      <c r="C33" s="6">
        <v>3993</v>
      </c>
      <c r="D33">
        <v>3154700</v>
      </c>
      <c r="E33" s="6">
        <v>206</v>
      </c>
      <c r="F33" s="6">
        <v>2517</v>
      </c>
      <c r="G33" s="6">
        <v>88</v>
      </c>
      <c r="H33" s="7">
        <v>44</v>
      </c>
      <c r="I33" s="7">
        <v>3</v>
      </c>
      <c r="J33" s="7">
        <f t="shared" si="0"/>
        <v>3161551</v>
      </c>
      <c r="K33" s="5">
        <v>222785785.63</v>
      </c>
      <c r="L33" s="9">
        <v>123271</v>
      </c>
      <c r="N33" s="4" t="s">
        <v>452</v>
      </c>
      <c r="O33">
        <f t="shared" si="1"/>
        <v>3154700</v>
      </c>
    </row>
    <row r="34" spans="1:15" x14ac:dyDescent="0.25">
      <c r="A34" s="3">
        <v>4102604</v>
      </c>
      <c r="B34" s="3" t="s">
        <v>42</v>
      </c>
      <c r="C34" s="6">
        <v>13312</v>
      </c>
      <c r="D34">
        <v>382584</v>
      </c>
      <c r="E34" s="6">
        <v>932</v>
      </c>
      <c r="F34" s="6">
        <v>1253</v>
      </c>
      <c r="G34" s="6">
        <v>342</v>
      </c>
      <c r="H34" s="7">
        <v>44</v>
      </c>
      <c r="I34" s="7">
        <v>4</v>
      </c>
      <c r="J34" s="7">
        <f t="shared" si="0"/>
        <v>398471</v>
      </c>
      <c r="K34" s="5">
        <v>243229053.38</v>
      </c>
      <c r="L34" s="9">
        <v>268257</v>
      </c>
      <c r="N34" s="4" t="s">
        <v>453</v>
      </c>
      <c r="O34">
        <f t="shared" si="1"/>
        <v>382584</v>
      </c>
    </row>
    <row r="35" spans="1:15" x14ac:dyDescent="0.25">
      <c r="A35" s="3">
        <v>4102752</v>
      </c>
      <c r="B35" s="3" t="s">
        <v>221</v>
      </c>
      <c r="C35" s="6">
        <v>12608</v>
      </c>
      <c r="D35">
        <v>237323</v>
      </c>
      <c r="E35" s="6">
        <v>243</v>
      </c>
      <c r="F35" s="6">
        <v>1463</v>
      </c>
      <c r="G35" s="6">
        <v>146</v>
      </c>
      <c r="H35" s="7">
        <v>69</v>
      </c>
      <c r="I35" s="7">
        <v>1</v>
      </c>
      <c r="J35" s="7">
        <f t="shared" si="0"/>
        <v>251853</v>
      </c>
      <c r="K35" s="5">
        <v>142518979.93000001</v>
      </c>
      <c r="L35" s="9">
        <v>93903</v>
      </c>
      <c r="N35" s="4" t="s">
        <v>454</v>
      </c>
      <c r="O35">
        <f t="shared" si="1"/>
        <v>237323</v>
      </c>
    </row>
    <row r="36" spans="1:15" x14ac:dyDescent="0.25">
      <c r="A36" s="3">
        <v>4102802</v>
      </c>
      <c r="B36" s="3" t="s">
        <v>70</v>
      </c>
      <c r="C36" s="6">
        <v>4462</v>
      </c>
      <c r="D36">
        <v>345899</v>
      </c>
      <c r="E36" s="6">
        <v>277</v>
      </c>
      <c r="F36" s="6">
        <v>354</v>
      </c>
      <c r="G36" s="6">
        <v>141</v>
      </c>
      <c r="H36" s="7">
        <v>24</v>
      </c>
      <c r="I36" s="7">
        <v>52</v>
      </c>
      <c r="J36" s="7">
        <f t="shared" si="0"/>
        <v>351209</v>
      </c>
      <c r="K36" s="5">
        <v>243887946.30000001</v>
      </c>
      <c r="L36" s="9">
        <v>527803</v>
      </c>
      <c r="N36" s="4" t="s">
        <v>455</v>
      </c>
      <c r="O36">
        <f t="shared" si="1"/>
        <v>345899</v>
      </c>
    </row>
    <row r="37" spans="1:15" x14ac:dyDescent="0.25">
      <c r="A37" s="3">
        <v>4102901</v>
      </c>
      <c r="B37" s="3" t="s">
        <v>393</v>
      </c>
      <c r="C37" s="6">
        <v>18444</v>
      </c>
      <c r="D37">
        <v>64000</v>
      </c>
      <c r="E37" s="6">
        <v>3202</v>
      </c>
      <c r="F37" s="6">
        <v>2638</v>
      </c>
      <c r="G37" s="6">
        <v>741</v>
      </c>
      <c r="H37" s="7">
        <v>171</v>
      </c>
      <c r="I37" s="7">
        <v>47</v>
      </c>
      <c r="J37" s="7">
        <f t="shared" si="0"/>
        <v>89243</v>
      </c>
      <c r="K37" s="5">
        <v>669978153.17999995</v>
      </c>
      <c r="L37" s="9">
        <v>443773</v>
      </c>
      <c r="N37" s="4" t="s">
        <v>456</v>
      </c>
      <c r="O37">
        <f t="shared" si="1"/>
        <v>64000</v>
      </c>
    </row>
    <row r="38" spans="1:15" x14ac:dyDescent="0.25">
      <c r="A38" s="3">
        <v>4103008</v>
      </c>
      <c r="B38" s="3" t="s">
        <v>152</v>
      </c>
      <c r="C38" s="6">
        <v>3172</v>
      </c>
      <c r="D38">
        <v>71583</v>
      </c>
      <c r="E38" s="6">
        <v>169</v>
      </c>
      <c r="F38" s="6">
        <v>267</v>
      </c>
      <c r="G38" s="6">
        <v>111</v>
      </c>
      <c r="H38" s="7">
        <v>9</v>
      </c>
      <c r="I38" s="7">
        <v>24</v>
      </c>
      <c r="J38" s="7">
        <f t="shared" si="0"/>
        <v>75335</v>
      </c>
      <c r="K38" s="5">
        <v>282786796.54000002</v>
      </c>
      <c r="L38" s="9">
        <v>276117</v>
      </c>
      <c r="N38" s="4" t="s">
        <v>457</v>
      </c>
      <c r="O38">
        <f t="shared" si="1"/>
        <v>71583</v>
      </c>
    </row>
    <row r="39" spans="1:15" x14ac:dyDescent="0.25">
      <c r="A39" s="3">
        <v>4103024</v>
      </c>
      <c r="B39" s="3" t="s">
        <v>219</v>
      </c>
      <c r="C39" s="6">
        <v>12880</v>
      </c>
      <c r="D39">
        <v>1059140</v>
      </c>
      <c r="E39" s="6">
        <v>534</v>
      </c>
      <c r="F39" s="6">
        <v>1046</v>
      </c>
      <c r="G39" s="6">
        <v>93</v>
      </c>
      <c r="H39" s="7">
        <v>218</v>
      </c>
      <c r="I39" s="7">
        <v>1</v>
      </c>
      <c r="J39" s="7">
        <f t="shared" si="0"/>
        <v>1073912</v>
      </c>
      <c r="K39" s="5">
        <v>335238339.63999999</v>
      </c>
      <c r="L39" s="9">
        <v>117819</v>
      </c>
      <c r="N39" s="4" t="s">
        <v>458</v>
      </c>
      <c r="O39">
        <f t="shared" si="1"/>
        <v>1059140</v>
      </c>
    </row>
    <row r="40" spans="1:15" x14ac:dyDescent="0.25">
      <c r="A40" s="3">
        <v>4103040</v>
      </c>
      <c r="B40" s="3" t="s">
        <v>354</v>
      </c>
      <c r="C40" s="6">
        <v>25718</v>
      </c>
      <c r="D40">
        <v>33200</v>
      </c>
      <c r="E40" s="6">
        <v>901</v>
      </c>
      <c r="F40" s="6">
        <v>1246</v>
      </c>
      <c r="G40" s="6">
        <v>542</v>
      </c>
      <c r="H40" s="7">
        <v>271</v>
      </c>
      <c r="I40" s="7">
        <v>84</v>
      </c>
      <c r="J40" s="7">
        <f t="shared" si="0"/>
        <v>61962</v>
      </c>
      <c r="K40" s="5">
        <v>387561669.52999997</v>
      </c>
      <c r="L40" s="9">
        <v>300754</v>
      </c>
      <c r="N40" s="4" t="s">
        <v>459</v>
      </c>
      <c r="O40">
        <f t="shared" si="1"/>
        <v>33200</v>
      </c>
    </row>
    <row r="41" spans="1:15" x14ac:dyDescent="0.25">
      <c r="A41" s="3">
        <v>4103057</v>
      </c>
      <c r="B41" s="3" t="s">
        <v>171</v>
      </c>
      <c r="C41" s="6">
        <v>24957</v>
      </c>
      <c r="D41">
        <v>678000</v>
      </c>
      <c r="E41" s="6">
        <v>773</v>
      </c>
      <c r="F41" s="6">
        <v>806</v>
      </c>
      <c r="G41" s="6">
        <v>323</v>
      </c>
      <c r="H41" s="7">
        <v>66</v>
      </c>
      <c r="I41" s="7">
        <v>32</v>
      </c>
      <c r="J41" s="7">
        <f t="shared" si="0"/>
        <v>704957</v>
      </c>
      <c r="K41" s="5">
        <v>209894340.72</v>
      </c>
      <c r="L41" s="9">
        <v>180388</v>
      </c>
      <c r="N41" s="4" t="s">
        <v>460</v>
      </c>
      <c r="O41">
        <f t="shared" si="1"/>
        <v>678000</v>
      </c>
    </row>
    <row r="42" spans="1:15" x14ac:dyDescent="0.25">
      <c r="A42" s="3">
        <v>4103107</v>
      </c>
      <c r="B42" s="3" t="s">
        <v>202</v>
      </c>
      <c r="C42" s="6">
        <v>4178</v>
      </c>
      <c r="D42">
        <v>10800</v>
      </c>
      <c r="E42" s="6">
        <v>838</v>
      </c>
      <c r="F42" s="6">
        <v>338</v>
      </c>
      <c r="G42" s="6">
        <v>570</v>
      </c>
      <c r="H42" s="7">
        <v>111</v>
      </c>
      <c r="I42" s="7">
        <v>37</v>
      </c>
      <c r="J42" s="7">
        <f t="shared" si="0"/>
        <v>16872</v>
      </c>
      <c r="K42" s="5">
        <v>148559588.74000001</v>
      </c>
      <c r="L42" s="9">
        <v>232987</v>
      </c>
      <c r="N42" s="4" t="s">
        <v>461</v>
      </c>
      <c r="O42">
        <f t="shared" si="1"/>
        <v>10800</v>
      </c>
    </row>
    <row r="43" spans="1:15" x14ac:dyDescent="0.25">
      <c r="A43" s="3">
        <v>4103156</v>
      </c>
      <c r="B43" s="3" t="s">
        <v>228</v>
      </c>
      <c r="C43" s="6">
        <v>17327</v>
      </c>
      <c r="D43">
        <v>395940</v>
      </c>
      <c r="E43" s="6">
        <v>1232</v>
      </c>
      <c r="F43" s="6">
        <v>1420</v>
      </c>
      <c r="G43" s="6">
        <v>330</v>
      </c>
      <c r="H43" s="7">
        <v>56</v>
      </c>
      <c r="I43" s="7">
        <v>7</v>
      </c>
      <c r="J43" s="7">
        <f t="shared" si="0"/>
        <v>416312</v>
      </c>
      <c r="K43" s="5">
        <v>219589233.08000001</v>
      </c>
      <c r="L43" s="9">
        <v>91674</v>
      </c>
      <c r="N43" s="4" t="s">
        <v>462</v>
      </c>
      <c r="O43">
        <f t="shared" si="1"/>
        <v>395940</v>
      </c>
    </row>
    <row r="44" spans="1:15" x14ac:dyDescent="0.25">
      <c r="A44" s="3">
        <v>4103206</v>
      </c>
      <c r="B44" s="3" t="s">
        <v>132</v>
      </c>
      <c r="C44" s="6">
        <v>17777</v>
      </c>
      <c r="D44">
        <v>1095225</v>
      </c>
      <c r="E44" s="6">
        <v>344</v>
      </c>
      <c r="F44" s="6">
        <v>1994</v>
      </c>
      <c r="G44" s="6">
        <v>420</v>
      </c>
      <c r="H44" s="7">
        <v>3</v>
      </c>
      <c r="I44" s="7">
        <v>42</v>
      </c>
      <c r="J44" s="7">
        <f t="shared" si="0"/>
        <v>1115805</v>
      </c>
      <c r="K44" s="5">
        <v>414886089.17000002</v>
      </c>
      <c r="L44" s="9">
        <v>147382</v>
      </c>
      <c r="N44" s="4" t="s">
        <v>463</v>
      </c>
      <c r="O44">
        <f t="shared" si="1"/>
        <v>1095225</v>
      </c>
    </row>
    <row r="45" spans="1:15" x14ac:dyDescent="0.25">
      <c r="A45" s="3">
        <v>4103222</v>
      </c>
      <c r="B45" s="3" t="s">
        <v>349</v>
      </c>
      <c r="C45" s="6">
        <v>2360</v>
      </c>
      <c r="D45">
        <v>974465</v>
      </c>
      <c r="E45" s="6">
        <v>451</v>
      </c>
      <c r="F45" s="6">
        <v>2068</v>
      </c>
      <c r="G45" s="6">
        <v>57</v>
      </c>
      <c r="H45" s="7">
        <v>44</v>
      </c>
      <c r="I45" s="7">
        <v>0</v>
      </c>
      <c r="J45" s="7">
        <f t="shared" si="0"/>
        <v>979445</v>
      </c>
      <c r="K45" s="5">
        <v>399566973.77999997</v>
      </c>
      <c r="L45" s="9">
        <v>262415</v>
      </c>
      <c r="N45" s="4" t="s">
        <v>464</v>
      </c>
      <c r="O45">
        <f t="shared" si="1"/>
        <v>974465</v>
      </c>
    </row>
    <row r="46" spans="1:15" x14ac:dyDescent="0.25">
      <c r="A46" s="3">
        <v>4103305</v>
      </c>
      <c r="B46" s="3" t="s">
        <v>247</v>
      </c>
      <c r="C46" s="6">
        <v>16073</v>
      </c>
      <c r="D46">
        <v>385801</v>
      </c>
      <c r="E46" s="6">
        <v>87</v>
      </c>
      <c r="F46" s="6">
        <v>216</v>
      </c>
      <c r="G46" s="6">
        <v>139</v>
      </c>
      <c r="H46" s="7">
        <v>0</v>
      </c>
      <c r="I46" s="7">
        <v>3</v>
      </c>
      <c r="J46" s="7">
        <f t="shared" si="0"/>
        <v>402319</v>
      </c>
      <c r="K46" s="5">
        <v>207928833.80000001</v>
      </c>
      <c r="L46" s="9">
        <v>230969</v>
      </c>
      <c r="N46" s="4" t="s">
        <v>465</v>
      </c>
      <c r="O46">
        <f t="shared" si="1"/>
        <v>385801</v>
      </c>
    </row>
    <row r="47" spans="1:15" x14ac:dyDescent="0.25">
      <c r="A47" s="3">
        <v>4103354</v>
      </c>
      <c r="B47" s="3" t="s">
        <v>160</v>
      </c>
      <c r="C47" s="6">
        <v>16177</v>
      </c>
      <c r="D47">
        <v>480040</v>
      </c>
      <c r="E47" s="6">
        <v>1358</v>
      </c>
      <c r="F47" s="6">
        <v>736</v>
      </c>
      <c r="G47" s="6">
        <v>345</v>
      </c>
      <c r="H47" s="7">
        <v>73</v>
      </c>
      <c r="I47" s="7">
        <v>41</v>
      </c>
      <c r="J47" s="7">
        <f t="shared" si="0"/>
        <v>498770</v>
      </c>
      <c r="K47" s="5">
        <v>374449877.24000001</v>
      </c>
      <c r="L47" s="9">
        <v>244770</v>
      </c>
      <c r="N47" s="4" t="s">
        <v>466</v>
      </c>
      <c r="O47">
        <f t="shared" si="1"/>
        <v>480040</v>
      </c>
    </row>
    <row r="48" spans="1:15" x14ac:dyDescent="0.25">
      <c r="A48" s="3">
        <v>4103370</v>
      </c>
      <c r="B48" s="3" t="s">
        <v>386</v>
      </c>
      <c r="C48" s="6">
        <v>3006</v>
      </c>
      <c r="D48">
        <v>2400</v>
      </c>
      <c r="E48" s="6">
        <v>348</v>
      </c>
      <c r="F48" s="6">
        <v>146</v>
      </c>
      <c r="G48" s="6">
        <v>106</v>
      </c>
      <c r="H48" s="7">
        <v>0</v>
      </c>
      <c r="I48" s="7">
        <v>2</v>
      </c>
      <c r="J48" s="7">
        <f t="shared" si="0"/>
        <v>6008</v>
      </c>
      <c r="K48" s="5">
        <v>216241402.15000001</v>
      </c>
      <c r="L48" s="9">
        <v>217671</v>
      </c>
      <c r="N48" s="4" t="s">
        <v>420</v>
      </c>
      <c r="O48">
        <f t="shared" si="1"/>
        <v>2400</v>
      </c>
    </row>
    <row r="49" spans="1:15" x14ac:dyDescent="0.25">
      <c r="A49" s="3">
        <v>4103404</v>
      </c>
      <c r="B49" s="3" t="s">
        <v>283</v>
      </c>
      <c r="C49" s="6">
        <v>11749</v>
      </c>
      <c r="D49">
        <v>1050900</v>
      </c>
      <c r="E49" s="6">
        <v>744</v>
      </c>
      <c r="F49" s="6">
        <v>132</v>
      </c>
      <c r="G49" s="6">
        <v>328</v>
      </c>
      <c r="H49" s="7">
        <v>7</v>
      </c>
      <c r="I49" s="7">
        <v>38</v>
      </c>
      <c r="J49" s="7">
        <f t="shared" si="0"/>
        <v>1063898</v>
      </c>
      <c r="K49" s="5">
        <v>202996175.69</v>
      </c>
      <c r="L49" s="9">
        <v>76996</v>
      </c>
      <c r="N49" s="4" t="s">
        <v>467</v>
      </c>
      <c r="O49">
        <f t="shared" si="1"/>
        <v>1050900</v>
      </c>
    </row>
    <row r="50" spans="1:15" x14ac:dyDescent="0.25">
      <c r="A50" s="3">
        <v>4103453</v>
      </c>
      <c r="B50" s="3" t="s">
        <v>169</v>
      </c>
      <c r="C50" s="6">
        <v>4113</v>
      </c>
      <c r="D50">
        <v>5862749</v>
      </c>
      <c r="E50" s="6">
        <v>893</v>
      </c>
      <c r="F50" s="6">
        <v>86067</v>
      </c>
      <c r="G50" s="6">
        <v>96</v>
      </c>
      <c r="H50" s="7">
        <v>133</v>
      </c>
      <c r="I50" s="7">
        <v>6</v>
      </c>
      <c r="J50" s="7">
        <f t="shared" si="0"/>
        <v>5954057</v>
      </c>
      <c r="K50" s="5">
        <v>1258038656.78</v>
      </c>
      <c r="L50" s="9">
        <v>2094246</v>
      </c>
      <c r="N50" s="4" t="s">
        <v>468</v>
      </c>
      <c r="O50">
        <f t="shared" si="1"/>
        <v>5862749</v>
      </c>
    </row>
    <row r="51" spans="1:15" x14ac:dyDescent="0.25">
      <c r="A51" s="3">
        <v>4103479</v>
      </c>
      <c r="B51" s="3" t="s">
        <v>387</v>
      </c>
      <c r="C51" s="6">
        <v>26782</v>
      </c>
      <c r="D51">
        <v>1990000</v>
      </c>
      <c r="E51" s="6">
        <v>614</v>
      </c>
      <c r="F51" s="6">
        <v>95</v>
      </c>
      <c r="G51" s="6">
        <v>265</v>
      </c>
      <c r="H51" s="7">
        <v>2</v>
      </c>
      <c r="I51" s="7">
        <v>31</v>
      </c>
      <c r="J51" s="7">
        <f t="shared" si="0"/>
        <v>2017789</v>
      </c>
      <c r="K51" s="5">
        <v>340906606.02999997</v>
      </c>
      <c r="L51" s="9">
        <v>130701</v>
      </c>
      <c r="N51" s="4" t="s">
        <v>469</v>
      </c>
      <c r="O51">
        <f t="shared" si="1"/>
        <v>1990000</v>
      </c>
    </row>
    <row r="52" spans="1:15" x14ac:dyDescent="0.25">
      <c r="A52" s="3">
        <v>4103503</v>
      </c>
      <c r="B52" s="3" t="s">
        <v>126</v>
      </c>
      <c r="C52" s="6">
        <v>6125</v>
      </c>
      <c r="D52">
        <v>437302</v>
      </c>
      <c r="E52" s="6">
        <v>223</v>
      </c>
      <c r="F52" s="6">
        <v>166</v>
      </c>
      <c r="G52" s="6">
        <v>192</v>
      </c>
      <c r="H52" s="7">
        <v>0</v>
      </c>
      <c r="I52" s="7">
        <v>20</v>
      </c>
      <c r="J52" s="7">
        <f t="shared" si="0"/>
        <v>444028</v>
      </c>
      <c r="K52" s="5">
        <v>160156109.66</v>
      </c>
      <c r="L52" s="9">
        <v>218258</v>
      </c>
      <c r="N52" s="4" t="s">
        <v>470</v>
      </c>
      <c r="O52">
        <f t="shared" si="1"/>
        <v>437302</v>
      </c>
    </row>
    <row r="53" spans="1:15" x14ac:dyDescent="0.25">
      <c r="A53" s="3">
        <v>4103602</v>
      </c>
      <c r="B53" s="3" t="s">
        <v>265</v>
      </c>
      <c r="C53" s="6">
        <v>3476</v>
      </c>
      <c r="D53">
        <v>1233000</v>
      </c>
      <c r="E53" s="6">
        <v>245</v>
      </c>
      <c r="F53" s="6">
        <v>130</v>
      </c>
      <c r="G53" s="6">
        <v>156</v>
      </c>
      <c r="H53" s="7">
        <v>21</v>
      </c>
      <c r="I53" s="7">
        <v>9</v>
      </c>
      <c r="J53" s="7">
        <f t="shared" si="0"/>
        <v>1237037</v>
      </c>
      <c r="K53" s="5">
        <v>280915895.38</v>
      </c>
      <c r="L53" s="9">
        <v>799667</v>
      </c>
      <c r="N53" s="4" t="s">
        <v>471</v>
      </c>
      <c r="O53">
        <f t="shared" si="1"/>
        <v>1233000</v>
      </c>
    </row>
    <row r="54" spans="1:15" x14ac:dyDescent="0.25">
      <c r="A54" s="3">
        <v>4103701</v>
      </c>
      <c r="B54" s="3" t="s">
        <v>290</v>
      </c>
      <c r="C54" s="6">
        <v>2073</v>
      </c>
      <c r="D54">
        <v>702100</v>
      </c>
      <c r="E54" s="6">
        <v>621</v>
      </c>
      <c r="F54" s="6">
        <v>4910</v>
      </c>
      <c r="G54" s="6">
        <v>494</v>
      </c>
      <c r="H54" s="7">
        <v>50</v>
      </c>
      <c r="I54" s="7">
        <v>47</v>
      </c>
      <c r="J54" s="7">
        <f t="shared" si="0"/>
        <v>710295</v>
      </c>
      <c r="K54" s="5">
        <v>525879991.00999999</v>
      </c>
      <c r="L54" s="9">
        <v>4652691</v>
      </c>
      <c r="N54" s="4" t="s">
        <v>472</v>
      </c>
      <c r="O54">
        <f t="shared" si="1"/>
        <v>702100</v>
      </c>
    </row>
    <row r="55" spans="1:15" x14ac:dyDescent="0.25">
      <c r="A55" s="3">
        <v>4103800</v>
      </c>
      <c r="B55" s="3" t="s">
        <v>133</v>
      </c>
      <c r="C55" s="6">
        <v>7270</v>
      </c>
      <c r="D55">
        <v>1162522</v>
      </c>
      <c r="E55" s="6">
        <v>563</v>
      </c>
      <c r="F55" s="6">
        <v>1214</v>
      </c>
      <c r="G55" s="6">
        <v>254</v>
      </c>
      <c r="H55" s="7">
        <v>74</v>
      </c>
      <c r="I55" s="7">
        <v>21</v>
      </c>
      <c r="J55" s="7">
        <f t="shared" si="0"/>
        <v>1171918</v>
      </c>
      <c r="K55" s="5">
        <v>245846236.28</v>
      </c>
      <c r="L55" s="9">
        <v>245570</v>
      </c>
      <c r="N55" s="4" t="s">
        <v>473</v>
      </c>
      <c r="O55">
        <f t="shared" si="1"/>
        <v>1162522</v>
      </c>
    </row>
    <row r="56" spans="1:15" x14ac:dyDescent="0.25">
      <c r="A56" s="3">
        <v>4103909</v>
      </c>
      <c r="B56" s="3" t="s">
        <v>3</v>
      </c>
      <c r="C56" s="6">
        <v>57791</v>
      </c>
      <c r="D56">
        <v>1177056</v>
      </c>
      <c r="E56" s="6">
        <v>1105</v>
      </c>
      <c r="F56" s="6">
        <v>14073</v>
      </c>
      <c r="G56" s="6">
        <v>1197</v>
      </c>
      <c r="H56" s="7">
        <v>26</v>
      </c>
      <c r="I56" s="7">
        <v>63</v>
      </c>
      <c r="J56" s="7">
        <f t="shared" si="0"/>
        <v>1251311</v>
      </c>
      <c r="K56" s="5">
        <v>673810566.94000006</v>
      </c>
      <c r="L56" s="9">
        <v>551082</v>
      </c>
      <c r="N56" s="4" t="s">
        <v>474</v>
      </c>
      <c r="O56">
        <f t="shared" si="1"/>
        <v>1177056</v>
      </c>
    </row>
    <row r="57" spans="1:15" x14ac:dyDescent="0.25">
      <c r="A57" s="3">
        <v>4103958</v>
      </c>
      <c r="B57" s="3" t="s">
        <v>240</v>
      </c>
      <c r="C57" s="6">
        <v>10019</v>
      </c>
      <c r="D57">
        <v>23900</v>
      </c>
      <c r="E57" s="6">
        <v>2521</v>
      </c>
      <c r="F57" s="6">
        <v>1221</v>
      </c>
      <c r="G57" s="6">
        <v>364</v>
      </c>
      <c r="H57" s="7">
        <v>95</v>
      </c>
      <c r="I57" s="7">
        <v>64</v>
      </c>
      <c r="J57" s="7">
        <f t="shared" si="0"/>
        <v>38184</v>
      </c>
      <c r="K57" s="5">
        <v>286022030</v>
      </c>
      <c r="L57" s="9">
        <v>130600</v>
      </c>
      <c r="N57" s="4" t="s">
        <v>475</v>
      </c>
      <c r="O57">
        <f t="shared" si="1"/>
        <v>23900</v>
      </c>
    </row>
    <row r="58" spans="1:15" x14ac:dyDescent="0.25">
      <c r="A58" s="3">
        <v>4104006</v>
      </c>
      <c r="B58" s="3" t="s">
        <v>203</v>
      </c>
      <c r="C58" s="6">
        <v>2963</v>
      </c>
      <c r="D58">
        <v>19500</v>
      </c>
      <c r="E58" s="6">
        <v>857</v>
      </c>
      <c r="F58" s="6">
        <v>328</v>
      </c>
      <c r="G58" s="6">
        <v>949</v>
      </c>
      <c r="H58" s="7">
        <v>144</v>
      </c>
      <c r="I58" s="7">
        <v>99</v>
      </c>
      <c r="J58" s="7">
        <f t="shared" si="0"/>
        <v>24840</v>
      </c>
      <c r="K58" s="5">
        <v>59423813.079999998</v>
      </c>
      <c r="L58" s="9">
        <v>1746622</v>
      </c>
      <c r="N58" s="4" t="s">
        <v>476</v>
      </c>
      <c r="O58">
        <f t="shared" si="1"/>
        <v>19500</v>
      </c>
    </row>
    <row r="59" spans="1:15" x14ac:dyDescent="0.25">
      <c r="A59" s="3">
        <v>4104055</v>
      </c>
      <c r="B59" s="3" t="s">
        <v>158</v>
      </c>
      <c r="C59" s="6">
        <v>18957</v>
      </c>
      <c r="D59">
        <v>503000</v>
      </c>
      <c r="E59" s="6">
        <v>457</v>
      </c>
      <c r="F59" s="6">
        <v>382</v>
      </c>
      <c r="G59" s="6">
        <v>280</v>
      </c>
      <c r="H59" s="7">
        <v>17</v>
      </c>
      <c r="I59" s="7">
        <v>52</v>
      </c>
      <c r="J59" s="7">
        <f t="shared" si="0"/>
        <v>523145</v>
      </c>
      <c r="K59" s="5">
        <v>383627942.14999998</v>
      </c>
      <c r="L59" s="9">
        <v>240695</v>
      </c>
      <c r="N59" s="4" t="s">
        <v>477</v>
      </c>
      <c r="O59">
        <f t="shared" si="1"/>
        <v>503000</v>
      </c>
    </row>
    <row r="60" spans="1:15" x14ac:dyDescent="0.25">
      <c r="A60" s="3">
        <v>4104105</v>
      </c>
      <c r="B60" s="3" t="s">
        <v>213</v>
      </c>
      <c r="C60" s="6">
        <v>3111</v>
      </c>
      <c r="D60">
        <v>500000</v>
      </c>
      <c r="E60" s="6">
        <v>804</v>
      </c>
      <c r="F60" s="6">
        <v>123</v>
      </c>
      <c r="G60" s="6">
        <v>289</v>
      </c>
      <c r="H60" s="7">
        <v>0</v>
      </c>
      <c r="I60" s="7">
        <v>1</v>
      </c>
      <c r="J60" s="7">
        <f t="shared" si="0"/>
        <v>504328</v>
      </c>
      <c r="K60" s="5">
        <v>219162670.13</v>
      </c>
      <c r="L60" s="9">
        <v>206692</v>
      </c>
      <c r="N60" s="4" t="s">
        <v>478</v>
      </c>
      <c r="O60">
        <f t="shared" si="1"/>
        <v>500000</v>
      </c>
    </row>
    <row r="61" spans="1:15" x14ac:dyDescent="0.25">
      <c r="A61" s="3">
        <v>4104204</v>
      </c>
      <c r="B61" s="3" t="s">
        <v>31</v>
      </c>
      <c r="C61" s="6">
        <v>9724</v>
      </c>
      <c r="D61">
        <v>93450</v>
      </c>
      <c r="E61" s="6">
        <v>2031</v>
      </c>
      <c r="F61" s="6">
        <v>1239</v>
      </c>
      <c r="G61" s="6">
        <v>1989</v>
      </c>
      <c r="H61" s="7">
        <v>185</v>
      </c>
      <c r="I61" s="7">
        <v>69</v>
      </c>
      <c r="J61" s="7">
        <f t="shared" si="0"/>
        <v>108687</v>
      </c>
      <c r="K61" s="5">
        <v>335339439.11000001</v>
      </c>
      <c r="L61" s="9">
        <v>4718986</v>
      </c>
      <c r="N61" s="4" t="s">
        <v>479</v>
      </c>
      <c r="O61">
        <f t="shared" si="1"/>
        <v>93450</v>
      </c>
    </row>
    <row r="62" spans="1:15" x14ac:dyDescent="0.25">
      <c r="A62" s="3">
        <v>4104253</v>
      </c>
      <c r="B62" s="3" t="s">
        <v>210</v>
      </c>
      <c r="C62" s="6">
        <v>2025</v>
      </c>
      <c r="D62">
        <v>292456</v>
      </c>
      <c r="E62" s="6">
        <v>595</v>
      </c>
      <c r="F62" s="6">
        <v>355</v>
      </c>
      <c r="G62" s="6">
        <v>529</v>
      </c>
      <c r="H62" s="7">
        <v>29</v>
      </c>
      <c r="I62" s="7">
        <v>41</v>
      </c>
      <c r="J62" s="7">
        <f t="shared" si="0"/>
        <v>296030</v>
      </c>
      <c r="K62" s="5">
        <v>131694095.58</v>
      </c>
      <c r="L62" s="9">
        <v>502158</v>
      </c>
      <c r="N62" s="4" t="s">
        <v>480</v>
      </c>
      <c r="O62">
        <f t="shared" si="1"/>
        <v>292456</v>
      </c>
    </row>
    <row r="63" spans="1:15" x14ac:dyDescent="0.25">
      <c r="A63" s="3">
        <v>4104303</v>
      </c>
      <c r="B63" s="3" t="s">
        <v>4</v>
      </c>
      <c r="C63" s="6">
        <v>10909</v>
      </c>
      <c r="D63">
        <v>2163542</v>
      </c>
      <c r="E63" s="6">
        <v>819</v>
      </c>
      <c r="F63" s="6">
        <v>1086</v>
      </c>
      <c r="G63" s="6">
        <v>455</v>
      </c>
      <c r="H63" s="7">
        <v>59</v>
      </c>
      <c r="I63" s="7">
        <v>31</v>
      </c>
      <c r="J63" s="7">
        <f t="shared" si="0"/>
        <v>2176901</v>
      </c>
      <c r="K63" s="5">
        <v>770799352.08000004</v>
      </c>
      <c r="L63" s="9">
        <v>4588838</v>
      </c>
      <c r="N63" s="4" t="s">
        <v>481</v>
      </c>
      <c r="O63">
        <f t="shared" si="1"/>
        <v>2163542</v>
      </c>
    </row>
    <row r="64" spans="1:15" x14ac:dyDescent="0.25">
      <c r="A64" s="3">
        <v>4104402</v>
      </c>
      <c r="B64" s="3" t="s">
        <v>98</v>
      </c>
      <c r="C64" s="6">
        <v>89416</v>
      </c>
      <c r="D64">
        <v>260000</v>
      </c>
      <c r="E64" s="6">
        <v>4301</v>
      </c>
      <c r="F64" s="6">
        <v>3714</v>
      </c>
      <c r="G64" s="6">
        <v>2047</v>
      </c>
      <c r="H64" s="7">
        <v>298</v>
      </c>
      <c r="I64" s="7">
        <v>159</v>
      </c>
      <c r="J64" s="7">
        <f t="shared" si="0"/>
        <v>359935</v>
      </c>
      <c r="K64" s="5">
        <v>449677790.35000002</v>
      </c>
      <c r="L64" s="9">
        <v>386658</v>
      </c>
      <c r="N64" s="4" t="s">
        <v>482</v>
      </c>
      <c r="O64">
        <f t="shared" si="1"/>
        <v>260000</v>
      </c>
    </row>
    <row r="65" spans="1:15" x14ac:dyDescent="0.25">
      <c r="A65" s="3">
        <v>4104428</v>
      </c>
      <c r="B65" s="3" t="s">
        <v>46</v>
      </c>
      <c r="C65" s="6">
        <v>86223</v>
      </c>
      <c r="D65">
        <v>75900</v>
      </c>
      <c r="E65" s="6">
        <v>2694</v>
      </c>
      <c r="F65" s="6">
        <v>7913</v>
      </c>
      <c r="G65" s="6">
        <v>1660</v>
      </c>
      <c r="H65" s="7">
        <v>150</v>
      </c>
      <c r="I65" s="7">
        <v>70</v>
      </c>
      <c r="J65" s="7">
        <f t="shared" si="0"/>
        <v>174610</v>
      </c>
      <c r="K65" s="5">
        <v>962420130.32000005</v>
      </c>
      <c r="L65" s="9">
        <v>724742</v>
      </c>
      <c r="N65" s="4" t="s">
        <v>483</v>
      </c>
      <c r="O65">
        <f t="shared" si="1"/>
        <v>75900</v>
      </c>
    </row>
    <row r="66" spans="1:15" x14ac:dyDescent="0.25">
      <c r="A66" s="3">
        <v>4104451</v>
      </c>
      <c r="B66" s="3" t="s">
        <v>48</v>
      </c>
      <c r="C66" s="6">
        <v>33345</v>
      </c>
      <c r="D66">
        <v>61697</v>
      </c>
      <c r="E66" s="6">
        <v>1079</v>
      </c>
      <c r="F66" s="6">
        <v>3056</v>
      </c>
      <c r="G66" s="6">
        <v>501</v>
      </c>
      <c r="H66" s="7">
        <v>128</v>
      </c>
      <c r="I66" s="7">
        <v>17</v>
      </c>
      <c r="J66" s="7">
        <f t="shared" si="0"/>
        <v>99823</v>
      </c>
      <c r="K66" s="5">
        <v>397341348.06</v>
      </c>
      <c r="L66" s="9">
        <v>305858</v>
      </c>
      <c r="N66" s="4" t="s">
        <v>484</v>
      </c>
      <c r="O66">
        <f t="shared" si="1"/>
        <v>61697</v>
      </c>
    </row>
    <row r="67" spans="1:15" x14ac:dyDescent="0.25">
      <c r="A67" s="3">
        <v>4104501</v>
      </c>
      <c r="B67" s="3" t="s">
        <v>222</v>
      </c>
      <c r="C67" s="6">
        <v>22564</v>
      </c>
      <c r="D67">
        <v>4508196</v>
      </c>
      <c r="E67" s="6">
        <v>1389</v>
      </c>
      <c r="F67" s="6">
        <v>45331</v>
      </c>
      <c r="G67" s="6">
        <v>270</v>
      </c>
      <c r="H67" s="7">
        <v>88</v>
      </c>
      <c r="I67" s="7">
        <v>3</v>
      </c>
      <c r="J67" s="7">
        <f t="shared" ref="J67:J130" si="2">SUM(C67+D67+E67+F67+G67+H67+I67)</f>
        <v>4577841</v>
      </c>
      <c r="K67" s="5">
        <v>798256834.54999995</v>
      </c>
      <c r="L67" s="9">
        <v>800433</v>
      </c>
      <c r="N67" s="4" t="s">
        <v>485</v>
      </c>
      <c r="O67">
        <f t="shared" ref="O67:O130" si="3">N67*1</f>
        <v>4508196</v>
      </c>
    </row>
    <row r="68" spans="1:15" x14ac:dyDescent="0.25">
      <c r="A68" s="3">
        <v>4104600</v>
      </c>
      <c r="B68" s="3" t="s">
        <v>9</v>
      </c>
      <c r="C68" s="6">
        <v>23642</v>
      </c>
      <c r="D68">
        <v>1700000</v>
      </c>
      <c r="E68" s="6">
        <v>961</v>
      </c>
      <c r="F68" s="6">
        <v>4382</v>
      </c>
      <c r="G68" s="6">
        <v>274</v>
      </c>
      <c r="H68" s="7">
        <v>85</v>
      </c>
      <c r="I68" s="7">
        <v>11</v>
      </c>
      <c r="J68" s="7">
        <f t="shared" si="2"/>
        <v>1729355</v>
      </c>
      <c r="K68" s="5">
        <v>468195829.75</v>
      </c>
      <c r="L68" s="9">
        <v>1394017</v>
      </c>
      <c r="N68" s="4" t="s">
        <v>486</v>
      </c>
      <c r="O68">
        <f t="shared" si="3"/>
        <v>1700000</v>
      </c>
    </row>
    <row r="69" spans="1:15" x14ac:dyDescent="0.25">
      <c r="A69" s="3">
        <v>4104659</v>
      </c>
      <c r="B69" s="3" t="s">
        <v>362</v>
      </c>
      <c r="C69" s="6">
        <v>61198</v>
      </c>
      <c r="D69">
        <v>1650000</v>
      </c>
      <c r="E69" s="6">
        <v>1080</v>
      </c>
      <c r="F69" s="6">
        <v>64705</v>
      </c>
      <c r="G69" s="6">
        <v>465</v>
      </c>
      <c r="H69" s="7">
        <v>66</v>
      </c>
      <c r="I69" s="7">
        <v>7</v>
      </c>
      <c r="J69" s="7">
        <f t="shared" si="2"/>
        <v>1777521</v>
      </c>
      <c r="K69" s="5">
        <v>2327615039.0100002</v>
      </c>
      <c r="L69" s="9">
        <v>1459280</v>
      </c>
      <c r="N69" s="4" t="s">
        <v>487</v>
      </c>
      <c r="O69">
        <f t="shared" si="3"/>
        <v>1650000</v>
      </c>
    </row>
    <row r="70" spans="1:15" x14ac:dyDescent="0.25">
      <c r="A70" s="3">
        <v>4104709</v>
      </c>
      <c r="B70" s="3" t="s">
        <v>267</v>
      </c>
      <c r="C70" s="6">
        <v>29695</v>
      </c>
      <c r="D70">
        <v>590000</v>
      </c>
      <c r="E70" s="6">
        <v>793</v>
      </c>
      <c r="F70" s="6">
        <v>5580</v>
      </c>
      <c r="G70" s="6">
        <v>613</v>
      </c>
      <c r="H70" s="7">
        <v>51</v>
      </c>
      <c r="I70" s="7">
        <v>115</v>
      </c>
      <c r="J70" s="7">
        <f t="shared" si="2"/>
        <v>626847</v>
      </c>
      <c r="K70" s="5">
        <v>763374313.72000003</v>
      </c>
      <c r="L70" s="9">
        <v>402039</v>
      </c>
      <c r="N70" s="4" t="s">
        <v>488</v>
      </c>
      <c r="O70">
        <f t="shared" si="3"/>
        <v>590000</v>
      </c>
    </row>
    <row r="71" spans="1:15" x14ac:dyDescent="0.25">
      <c r="A71" s="3">
        <v>4104808</v>
      </c>
      <c r="B71" s="3" t="s">
        <v>10</v>
      </c>
      <c r="C71" s="6">
        <v>68790</v>
      </c>
      <c r="D71">
        <v>9100000</v>
      </c>
      <c r="E71" s="6">
        <v>5507</v>
      </c>
      <c r="F71" s="6">
        <v>199574</v>
      </c>
      <c r="G71" s="6">
        <v>1995</v>
      </c>
      <c r="H71" s="7">
        <v>409</v>
      </c>
      <c r="I71" s="7">
        <v>110</v>
      </c>
      <c r="J71" s="7">
        <f t="shared" si="2"/>
        <v>9376385</v>
      </c>
      <c r="K71" s="5">
        <v>3632858044.5700002</v>
      </c>
      <c r="L71" s="9">
        <v>14157376</v>
      </c>
      <c r="N71" s="4" t="s">
        <v>489</v>
      </c>
      <c r="O71">
        <f t="shared" si="3"/>
        <v>9100000</v>
      </c>
    </row>
    <row r="72" spans="1:15" x14ac:dyDescent="0.25">
      <c r="A72" s="3">
        <v>4104907</v>
      </c>
      <c r="B72" s="3" t="s">
        <v>104</v>
      </c>
      <c r="C72" s="6">
        <v>146719</v>
      </c>
      <c r="D72">
        <v>3695838</v>
      </c>
      <c r="E72" s="6">
        <v>12020</v>
      </c>
      <c r="F72" s="6">
        <v>208271</v>
      </c>
      <c r="G72" s="6">
        <v>2163</v>
      </c>
      <c r="H72" s="7">
        <v>460</v>
      </c>
      <c r="I72" s="7">
        <v>50</v>
      </c>
      <c r="J72" s="7">
        <f t="shared" si="2"/>
        <v>4065521</v>
      </c>
      <c r="K72" s="5">
        <v>3620285888.1100001</v>
      </c>
      <c r="L72" s="9">
        <v>3293035</v>
      </c>
      <c r="N72" s="4" t="s">
        <v>490</v>
      </c>
      <c r="O72">
        <f t="shared" si="3"/>
        <v>3695838</v>
      </c>
    </row>
    <row r="73" spans="1:15" x14ac:dyDescent="0.25">
      <c r="A73" s="3">
        <v>4105003</v>
      </c>
      <c r="B73" s="3" t="s">
        <v>11</v>
      </c>
      <c r="C73" s="6">
        <v>39027</v>
      </c>
      <c r="D73">
        <v>788000</v>
      </c>
      <c r="E73" s="6">
        <v>813</v>
      </c>
      <c r="F73" s="6">
        <v>38233</v>
      </c>
      <c r="G73" s="6">
        <v>578</v>
      </c>
      <c r="H73" s="7">
        <v>25</v>
      </c>
      <c r="I73" s="7">
        <v>19</v>
      </c>
      <c r="J73" s="7">
        <f t="shared" si="2"/>
        <v>866695</v>
      </c>
      <c r="K73" s="5">
        <v>633270761.12</v>
      </c>
      <c r="L73" s="9">
        <v>347925</v>
      </c>
      <c r="N73" s="4" t="s">
        <v>491</v>
      </c>
      <c r="O73">
        <f t="shared" si="3"/>
        <v>788000</v>
      </c>
    </row>
    <row r="74" spans="1:15" x14ac:dyDescent="0.25">
      <c r="A74" s="3">
        <v>4105102</v>
      </c>
      <c r="B74" s="3" t="s">
        <v>72</v>
      </c>
      <c r="C74" s="6">
        <v>14658</v>
      </c>
      <c r="D74">
        <v>442290</v>
      </c>
      <c r="E74" s="6">
        <v>326</v>
      </c>
      <c r="F74" s="6">
        <v>149</v>
      </c>
      <c r="G74" s="6">
        <v>290</v>
      </c>
      <c r="H74" s="7">
        <v>3</v>
      </c>
      <c r="I74" s="7">
        <v>22</v>
      </c>
      <c r="J74" s="7">
        <f t="shared" si="2"/>
        <v>457738</v>
      </c>
      <c r="K74" s="5">
        <v>298826515.69999999</v>
      </c>
      <c r="L74" s="9">
        <v>276412</v>
      </c>
      <c r="N74" s="4" t="s">
        <v>492</v>
      </c>
      <c r="O74">
        <f t="shared" si="3"/>
        <v>442290</v>
      </c>
    </row>
    <row r="75" spans="1:15" x14ac:dyDescent="0.25">
      <c r="A75" s="3">
        <v>4105201</v>
      </c>
      <c r="B75" s="3" t="s">
        <v>32</v>
      </c>
      <c r="C75" s="6">
        <v>27545</v>
      </c>
      <c r="D75">
        <v>90000</v>
      </c>
      <c r="E75" s="6">
        <v>119</v>
      </c>
      <c r="F75" s="6">
        <v>197</v>
      </c>
      <c r="G75" s="6">
        <v>508</v>
      </c>
      <c r="H75" s="7">
        <v>54</v>
      </c>
      <c r="I75" s="7">
        <v>115</v>
      </c>
      <c r="J75" s="7">
        <f t="shared" si="2"/>
        <v>118538</v>
      </c>
      <c r="K75" s="5">
        <v>622607979.30999994</v>
      </c>
      <c r="L75" s="9">
        <v>351049</v>
      </c>
      <c r="N75" s="4" t="s">
        <v>493</v>
      </c>
      <c r="O75">
        <f t="shared" si="3"/>
        <v>90000</v>
      </c>
    </row>
    <row r="76" spans="1:15" x14ac:dyDescent="0.25">
      <c r="A76" s="3">
        <v>4105300</v>
      </c>
      <c r="B76" s="3" t="s">
        <v>163</v>
      </c>
      <c r="C76" s="6">
        <v>16356</v>
      </c>
      <c r="D76">
        <v>4190000</v>
      </c>
      <c r="E76" s="6">
        <v>1267</v>
      </c>
      <c r="F76" s="6">
        <v>20709</v>
      </c>
      <c r="G76" s="6">
        <v>270</v>
      </c>
      <c r="H76" s="7">
        <v>40</v>
      </c>
      <c r="I76" s="7">
        <v>6</v>
      </c>
      <c r="J76" s="7">
        <f t="shared" si="2"/>
        <v>4228648</v>
      </c>
      <c r="K76" s="5">
        <v>711458476.50999999</v>
      </c>
      <c r="L76" s="9">
        <v>805858</v>
      </c>
      <c r="N76" s="4" t="s">
        <v>494</v>
      </c>
      <c r="O76">
        <f t="shared" si="3"/>
        <v>4190000</v>
      </c>
    </row>
    <row r="77" spans="1:15" x14ac:dyDescent="0.25">
      <c r="A77" s="3">
        <v>4105409</v>
      </c>
      <c r="B77" s="3" t="s">
        <v>93</v>
      </c>
      <c r="C77" s="6">
        <v>49968</v>
      </c>
      <c r="D77">
        <v>4447683</v>
      </c>
      <c r="E77" s="6">
        <v>1246</v>
      </c>
      <c r="F77" s="6">
        <v>11568</v>
      </c>
      <c r="G77" s="6">
        <v>497</v>
      </c>
      <c r="H77" s="7">
        <v>195</v>
      </c>
      <c r="I77" s="7">
        <v>19</v>
      </c>
      <c r="J77" s="7">
        <f t="shared" si="2"/>
        <v>4511176</v>
      </c>
      <c r="K77" s="5">
        <v>846639024.02999997</v>
      </c>
      <c r="L77" s="9">
        <v>848125</v>
      </c>
      <c r="N77" s="4" t="s">
        <v>495</v>
      </c>
      <c r="O77">
        <f t="shared" si="3"/>
        <v>4447683</v>
      </c>
    </row>
    <row r="78" spans="1:15" x14ac:dyDescent="0.25">
      <c r="A78" s="3">
        <v>4105508</v>
      </c>
      <c r="B78" s="3" t="s">
        <v>20</v>
      </c>
      <c r="C78" s="6">
        <v>60590</v>
      </c>
      <c r="D78">
        <v>11000000</v>
      </c>
      <c r="E78" s="6">
        <v>1314</v>
      </c>
      <c r="F78" s="6">
        <v>1759</v>
      </c>
      <c r="G78" s="6">
        <v>1038</v>
      </c>
      <c r="H78" s="7">
        <v>42</v>
      </c>
      <c r="I78" s="7">
        <v>121</v>
      </c>
      <c r="J78" s="7">
        <f t="shared" si="2"/>
        <v>11064864</v>
      </c>
      <c r="K78" s="5">
        <v>1245961620.6800001</v>
      </c>
      <c r="L78" s="9">
        <v>2687581</v>
      </c>
      <c r="N78" s="4" t="s">
        <v>496</v>
      </c>
      <c r="O78">
        <f t="shared" si="3"/>
        <v>11000000</v>
      </c>
    </row>
    <row r="79" spans="1:15" x14ac:dyDescent="0.25">
      <c r="A79" s="3">
        <v>4105607</v>
      </c>
      <c r="B79" s="3" t="s">
        <v>21</v>
      </c>
      <c r="C79" s="6">
        <v>38229</v>
      </c>
      <c r="D79">
        <v>1000000</v>
      </c>
      <c r="E79" s="6">
        <v>853</v>
      </c>
      <c r="F79" s="6">
        <v>352</v>
      </c>
      <c r="G79" s="6">
        <v>443</v>
      </c>
      <c r="H79" s="7">
        <v>8</v>
      </c>
      <c r="I79" s="7">
        <v>22</v>
      </c>
      <c r="J79" s="7">
        <f t="shared" si="2"/>
        <v>1039907</v>
      </c>
      <c r="K79" s="5">
        <v>213678465.36000001</v>
      </c>
      <c r="L79" s="9">
        <v>421469</v>
      </c>
      <c r="N79" s="4" t="s">
        <v>497</v>
      </c>
      <c r="O79">
        <f t="shared" si="3"/>
        <v>1000000</v>
      </c>
    </row>
    <row r="80" spans="1:15" x14ac:dyDescent="0.25">
      <c r="A80" s="3">
        <v>4105706</v>
      </c>
      <c r="B80" s="3" t="s">
        <v>95</v>
      </c>
      <c r="C80" s="6">
        <v>10587</v>
      </c>
      <c r="D80">
        <v>84150</v>
      </c>
      <c r="E80" s="6">
        <v>2402</v>
      </c>
      <c r="F80" s="6">
        <v>22646</v>
      </c>
      <c r="G80" s="6">
        <v>561</v>
      </c>
      <c r="H80" s="7">
        <v>147</v>
      </c>
      <c r="I80" s="7">
        <v>47</v>
      </c>
      <c r="J80" s="7">
        <f t="shared" si="2"/>
        <v>120540</v>
      </c>
      <c r="K80" s="5">
        <v>532207837.18000001</v>
      </c>
      <c r="L80" s="9">
        <v>597035</v>
      </c>
      <c r="N80" s="4" t="s">
        <v>498</v>
      </c>
      <c r="O80">
        <f t="shared" si="3"/>
        <v>84150</v>
      </c>
    </row>
    <row r="81" spans="1:15" x14ac:dyDescent="0.25">
      <c r="A81" s="3">
        <v>4105805</v>
      </c>
      <c r="B81" s="3" t="s">
        <v>33</v>
      </c>
      <c r="C81" s="6">
        <v>621</v>
      </c>
      <c r="D81">
        <v>70000</v>
      </c>
      <c r="E81" s="6">
        <v>727</v>
      </c>
      <c r="F81" s="6">
        <v>273</v>
      </c>
      <c r="G81" s="6">
        <v>983</v>
      </c>
      <c r="H81" s="7">
        <v>18</v>
      </c>
      <c r="I81" s="7">
        <v>36</v>
      </c>
      <c r="J81" s="7">
        <f t="shared" si="2"/>
        <v>72658</v>
      </c>
      <c r="K81" s="5">
        <v>288842317.30000001</v>
      </c>
      <c r="L81" s="9">
        <v>4979982</v>
      </c>
      <c r="N81" s="4" t="s">
        <v>499</v>
      </c>
      <c r="O81">
        <f t="shared" si="3"/>
        <v>70000</v>
      </c>
    </row>
    <row r="82" spans="1:15" x14ac:dyDescent="0.25">
      <c r="A82" s="3">
        <v>4105904</v>
      </c>
      <c r="B82" s="3" t="s">
        <v>78</v>
      </c>
      <c r="C82" s="6">
        <v>19417</v>
      </c>
      <c r="D82">
        <v>1003000</v>
      </c>
      <c r="E82" s="6">
        <v>1166</v>
      </c>
      <c r="F82" s="6">
        <v>373</v>
      </c>
      <c r="G82" s="6">
        <v>493</v>
      </c>
      <c r="H82" s="7">
        <v>58</v>
      </c>
      <c r="I82" s="7">
        <v>61</v>
      </c>
      <c r="J82" s="7">
        <f t="shared" si="2"/>
        <v>1024568</v>
      </c>
      <c r="K82" s="5">
        <v>353389300.75</v>
      </c>
      <c r="L82" s="9">
        <v>717242</v>
      </c>
      <c r="N82" s="4" t="s">
        <v>500</v>
      </c>
      <c r="O82">
        <f t="shared" si="3"/>
        <v>1003000</v>
      </c>
    </row>
    <row r="83" spans="1:15" x14ac:dyDescent="0.25">
      <c r="A83" s="3">
        <v>4106001</v>
      </c>
      <c r="B83" s="3" t="s">
        <v>191</v>
      </c>
      <c r="C83" s="6">
        <v>24081</v>
      </c>
      <c r="D83">
        <v>310000</v>
      </c>
      <c r="E83" s="6">
        <v>220</v>
      </c>
      <c r="F83" s="6">
        <v>107</v>
      </c>
      <c r="G83" s="6">
        <v>453</v>
      </c>
      <c r="H83" s="7">
        <v>5</v>
      </c>
      <c r="I83" s="7">
        <v>94</v>
      </c>
      <c r="J83" s="7">
        <f t="shared" si="2"/>
        <v>334960</v>
      </c>
      <c r="K83" s="5">
        <v>335354692.51999998</v>
      </c>
      <c r="L83" s="9">
        <v>264272</v>
      </c>
      <c r="N83" s="4" t="s">
        <v>501</v>
      </c>
      <c r="O83">
        <f t="shared" si="3"/>
        <v>310000</v>
      </c>
    </row>
    <row r="84" spans="1:15" x14ac:dyDescent="0.25">
      <c r="A84" s="3">
        <v>4106100</v>
      </c>
      <c r="B84" s="3" t="s">
        <v>269</v>
      </c>
      <c r="C84" s="6">
        <v>20445</v>
      </c>
      <c r="D84">
        <v>1050000</v>
      </c>
      <c r="E84" s="6">
        <v>208</v>
      </c>
      <c r="F84" s="6">
        <v>69</v>
      </c>
      <c r="G84" s="6">
        <v>381</v>
      </c>
      <c r="H84" s="7">
        <v>1</v>
      </c>
      <c r="I84" s="7">
        <v>32</v>
      </c>
      <c r="J84" s="7">
        <f t="shared" si="2"/>
        <v>1071136</v>
      </c>
      <c r="K84" s="5">
        <v>168089041.06</v>
      </c>
      <c r="L84" s="9">
        <v>117918</v>
      </c>
      <c r="N84" s="4" t="s">
        <v>502</v>
      </c>
      <c r="O84">
        <f t="shared" si="3"/>
        <v>1050000</v>
      </c>
    </row>
    <row r="85" spans="1:15" x14ac:dyDescent="0.25">
      <c r="A85" s="3">
        <v>4106209</v>
      </c>
      <c r="B85" s="3" t="s">
        <v>207</v>
      </c>
      <c r="C85" s="6">
        <v>2297</v>
      </c>
      <c r="D85">
        <v>312467</v>
      </c>
      <c r="E85" s="6">
        <v>741</v>
      </c>
      <c r="F85" s="6">
        <v>3580</v>
      </c>
      <c r="G85" s="6">
        <v>617</v>
      </c>
      <c r="H85" s="7">
        <v>25</v>
      </c>
      <c r="I85" s="7">
        <v>11</v>
      </c>
      <c r="J85" s="7">
        <f t="shared" si="2"/>
        <v>319738</v>
      </c>
      <c r="K85" s="5">
        <v>309044758.93000001</v>
      </c>
      <c r="L85" s="9">
        <v>450814</v>
      </c>
      <c r="N85" s="4" t="s">
        <v>503</v>
      </c>
      <c r="O85">
        <f t="shared" si="3"/>
        <v>312467</v>
      </c>
    </row>
    <row r="86" spans="1:15" x14ac:dyDescent="0.25">
      <c r="A86" s="3">
        <v>4106308</v>
      </c>
      <c r="B86" s="3" t="s">
        <v>12</v>
      </c>
      <c r="C86" s="6">
        <v>10156</v>
      </c>
      <c r="D86">
        <v>4400000</v>
      </c>
      <c r="E86" s="6">
        <v>1653</v>
      </c>
      <c r="F86" s="6">
        <v>20229</v>
      </c>
      <c r="G86" s="6">
        <v>201</v>
      </c>
      <c r="H86" s="7">
        <v>22</v>
      </c>
      <c r="I86" s="7">
        <v>1</v>
      </c>
      <c r="J86" s="7">
        <f t="shared" si="2"/>
        <v>4432262</v>
      </c>
      <c r="K86" s="5">
        <v>1052406053.2</v>
      </c>
      <c r="L86" s="9">
        <v>1031182</v>
      </c>
      <c r="N86" s="4" t="s">
        <v>504</v>
      </c>
      <c r="O86">
        <f t="shared" si="3"/>
        <v>4400000</v>
      </c>
    </row>
    <row r="87" spans="1:15" x14ac:dyDescent="0.25">
      <c r="A87" s="3">
        <v>4106407</v>
      </c>
      <c r="B87" s="3" t="s">
        <v>25</v>
      </c>
      <c r="C87" s="6">
        <v>22206</v>
      </c>
      <c r="D87">
        <v>340454</v>
      </c>
      <c r="E87" s="6">
        <v>707</v>
      </c>
      <c r="F87" s="6">
        <v>674</v>
      </c>
      <c r="G87" s="6">
        <v>959</v>
      </c>
      <c r="H87" s="7">
        <v>38</v>
      </c>
      <c r="I87" s="7">
        <v>175</v>
      </c>
      <c r="J87" s="7">
        <f t="shared" si="2"/>
        <v>365213</v>
      </c>
      <c r="K87" s="5">
        <v>335309246.25</v>
      </c>
      <c r="L87" s="9">
        <v>1745205</v>
      </c>
      <c r="N87" s="4" t="s">
        <v>505</v>
      </c>
      <c r="O87">
        <f t="shared" si="3"/>
        <v>340454</v>
      </c>
    </row>
    <row r="88" spans="1:15" x14ac:dyDescent="0.25">
      <c r="A88" s="3">
        <v>4106456</v>
      </c>
      <c r="B88" s="3" t="s">
        <v>348</v>
      </c>
      <c r="C88" s="6">
        <v>43210</v>
      </c>
      <c r="D88">
        <v>509608</v>
      </c>
      <c r="E88" s="6">
        <v>3748</v>
      </c>
      <c r="F88" s="6">
        <v>1610</v>
      </c>
      <c r="G88" s="6">
        <v>1410</v>
      </c>
      <c r="H88" s="7">
        <v>311</v>
      </c>
      <c r="I88" s="7">
        <v>115</v>
      </c>
      <c r="J88" s="7">
        <f t="shared" si="2"/>
        <v>560012</v>
      </c>
      <c r="K88" s="5">
        <v>374804536.99000001</v>
      </c>
      <c r="L88" s="9">
        <v>229451</v>
      </c>
      <c r="N88" s="4" t="s">
        <v>506</v>
      </c>
      <c r="O88">
        <f t="shared" si="3"/>
        <v>509608</v>
      </c>
    </row>
    <row r="89" spans="1:15" x14ac:dyDescent="0.25">
      <c r="A89" s="3">
        <v>4106506</v>
      </c>
      <c r="B89" s="3" t="s">
        <v>96</v>
      </c>
      <c r="C89" s="6">
        <v>33985</v>
      </c>
      <c r="D89">
        <v>1682538</v>
      </c>
      <c r="E89" s="6">
        <v>1679</v>
      </c>
      <c r="F89" s="6">
        <v>7366</v>
      </c>
      <c r="G89" s="6">
        <v>415</v>
      </c>
      <c r="H89" s="7">
        <v>130</v>
      </c>
      <c r="I89" s="7">
        <v>21</v>
      </c>
      <c r="J89" s="7">
        <f t="shared" si="2"/>
        <v>1726134</v>
      </c>
      <c r="K89" s="5">
        <v>863527197.98000002</v>
      </c>
      <c r="L89" s="9">
        <v>729600</v>
      </c>
      <c r="N89" s="4" t="s">
        <v>507</v>
      </c>
      <c r="O89">
        <f t="shared" si="3"/>
        <v>1682538</v>
      </c>
    </row>
    <row r="90" spans="1:15" x14ac:dyDescent="0.25">
      <c r="A90" s="3">
        <v>4106555</v>
      </c>
      <c r="B90" s="3" t="s">
        <v>139</v>
      </c>
      <c r="C90" s="6">
        <v>16844</v>
      </c>
      <c r="D90">
        <v>319219</v>
      </c>
      <c r="E90" s="6">
        <v>121</v>
      </c>
      <c r="F90" s="6">
        <v>189</v>
      </c>
      <c r="G90" s="6">
        <v>197</v>
      </c>
      <c r="H90" s="7">
        <v>11</v>
      </c>
      <c r="I90" s="7">
        <v>85</v>
      </c>
      <c r="J90" s="7">
        <f t="shared" si="2"/>
        <v>336666</v>
      </c>
      <c r="K90" s="5">
        <v>122697350.54000001</v>
      </c>
      <c r="L90" s="9">
        <v>81963</v>
      </c>
      <c r="N90" s="4" t="s">
        <v>508</v>
      </c>
      <c r="O90">
        <f t="shared" si="3"/>
        <v>319219</v>
      </c>
    </row>
    <row r="91" spans="1:15" x14ac:dyDescent="0.25">
      <c r="A91" s="3">
        <v>4106803</v>
      </c>
      <c r="B91" s="3" t="s">
        <v>122</v>
      </c>
      <c r="C91" s="6">
        <v>10220</v>
      </c>
      <c r="D91">
        <v>130000</v>
      </c>
      <c r="E91" s="6">
        <v>2074</v>
      </c>
      <c r="F91" s="6">
        <v>6634</v>
      </c>
      <c r="G91" s="6">
        <v>702</v>
      </c>
      <c r="H91" s="7">
        <v>128</v>
      </c>
      <c r="I91" s="7">
        <v>22</v>
      </c>
      <c r="J91" s="7">
        <f t="shared" si="2"/>
        <v>149780</v>
      </c>
      <c r="K91" s="5">
        <v>808067943.22000003</v>
      </c>
      <c r="L91" s="9">
        <v>441368</v>
      </c>
      <c r="N91" s="4" t="s">
        <v>509</v>
      </c>
      <c r="O91">
        <f t="shared" si="3"/>
        <v>130000</v>
      </c>
    </row>
    <row r="92" spans="1:15" x14ac:dyDescent="0.25">
      <c r="A92" s="3">
        <v>4106571</v>
      </c>
      <c r="B92" s="3" t="s">
        <v>220</v>
      </c>
      <c r="C92" s="6">
        <v>10971</v>
      </c>
      <c r="D92">
        <v>1141770</v>
      </c>
      <c r="E92" s="6">
        <v>459</v>
      </c>
      <c r="F92" s="6">
        <v>1487</v>
      </c>
      <c r="G92" s="6">
        <v>142</v>
      </c>
      <c r="H92" s="7">
        <v>25</v>
      </c>
      <c r="I92" s="7">
        <v>0</v>
      </c>
      <c r="J92" s="7">
        <f t="shared" si="2"/>
        <v>1154854</v>
      </c>
      <c r="K92" s="5">
        <v>400046169.51999998</v>
      </c>
      <c r="L92" s="9">
        <v>154808</v>
      </c>
      <c r="N92" s="4" t="s">
        <v>510</v>
      </c>
      <c r="O92">
        <f t="shared" si="3"/>
        <v>1141770</v>
      </c>
    </row>
    <row r="93" spans="1:15" x14ac:dyDescent="0.25">
      <c r="A93" s="3">
        <v>4106605</v>
      </c>
      <c r="B93" s="3" t="s">
        <v>117</v>
      </c>
      <c r="C93" s="6">
        <v>58816</v>
      </c>
      <c r="D93">
        <v>1235000</v>
      </c>
      <c r="E93" s="6">
        <v>1022</v>
      </c>
      <c r="F93" s="6">
        <v>1007</v>
      </c>
      <c r="G93" s="6">
        <v>1231</v>
      </c>
      <c r="H93" s="7">
        <v>21</v>
      </c>
      <c r="I93" s="7">
        <v>116</v>
      </c>
      <c r="J93" s="7">
        <f t="shared" si="2"/>
        <v>1297213</v>
      </c>
      <c r="K93" s="5">
        <v>565591309.54999995</v>
      </c>
      <c r="L93" s="9">
        <v>831868</v>
      </c>
      <c r="N93" s="4" t="s">
        <v>511</v>
      </c>
      <c r="O93">
        <f t="shared" si="3"/>
        <v>1235000</v>
      </c>
    </row>
    <row r="94" spans="1:15" x14ac:dyDescent="0.25">
      <c r="A94" s="3">
        <v>4106704</v>
      </c>
      <c r="B94" s="3" t="s">
        <v>332</v>
      </c>
      <c r="C94" s="6">
        <v>13030</v>
      </c>
      <c r="D94">
        <v>1142945</v>
      </c>
      <c r="E94" s="6">
        <v>412</v>
      </c>
      <c r="F94" s="6">
        <v>209</v>
      </c>
      <c r="G94" s="6">
        <v>263</v>
      </c>
      <c r="H94" s="7">
        <v>6</v>
      </c>
      <c r="I94" s="7">
        <v>23</v>
      </c>
      <c r="J94" s="7">
        <f t="shared" si="2"/>
        <v>1156888</v>
      </c>
      <c r="K94" s="5">
        <v>296825046.38</v>
      </c>
      <c r="L94" s="9">
        <v>197229</v>
      </c>
      <c r="N94" s="4" t="s">
        <v>512</v>
      </c>
      <c r="O94">
        <f t="shared" si="3"/>
        <v>1142945</v>
      </c>
    </row>
    <row r="95" spans="1:15" x14ac:dyDescent="0.25">
      <c r="A95" s="3">
        <v>4106852</v>
      </c>
      <c r="B95" s="3" t="s">
        <v>248</v>
      </c>
      <c r="C95" s="6">
        <v>11180</v>
      </c>
      <c r="D95">
        <v>585444</v>
      </c>
      <c r="E95" s="6">
        <v>507</v>
      </c>
      <c r="F95" s="6">
        <v>441</v>
      </c>
      <c r="G95" s="6">
        <v>290</v>
      </c>
      <c r="H95" s="7">
        <v>13</v>
      </c>
      <c r="I95" s="7">
        <v>16</v>
      </c>
      <c r="J95" s="7">
        <f t="shared" si="2"/>
        <v>597891</v>
      </c>
      <c r="K95" s="5">
        <v>273568124.49000001</v>
      </c>
      <c r="L95" s="9">
        <v>160485</v>
      </c>
      <c r="N95" s="4" t="s">
        <v>513</v>
      </c>
      <c r="O95">
        <f t="shared" si="3"/>
        <v>585444</v>
      </c>
    </row>
    <row r="96" spans="1:15" x14ac:dyDescent="0.25">
      <c r="A96" s="3">
        <v>4106902</v>
      </c>
      <c r="B96" s="3" t="s">
        <v>30</v>
      </c>
      <c r="C96" s="6">
        <v>806</v>
      </c>
      <c r="D96">
        <v>1436</v>
      </c>
      <c r="E96" s="6">
        <v>311</v>
      </c>
      <c r="F96" s="6">
        <v>88</v>
      </c>
      <c r="G96" s="6">
        <v>1353</v>
      </c>
      <c r="H96" s="7">
        <v>8</v>
      </c>
      <c r="I96" s="7">
        <v>12</v>
      </c>
      <c r="J96" s="7">
        <f t="shared" si="2"/>
        <v>4014</v>
      </c>
      <c r="K96" s="5">
        <v>16129403.93</v>
      </c>
      <c r="L96" s="9">
        <v>88163327</v>
      </c>
      <c r="N96" s="4" t="s">
        <v>514</v>
      </c>
      <c r="O96">
        <f t="shared" si="3"/>
        <v>1436</v>
      </c>
    </row>
    <row r="97" spans="1:15" x14ac:dyDescent="0.25">
      <c r="A97" s="3">
        <v>4107009</v>
      </c>
      <c r="B97" s="3" t="s">
        <v>259</v>
      </c>
      <c r="C97" s="6">
        <v>34171</v>
      </c>
      <c r="D97">
        <v>42200</v>
      </c>
      <c r="E97" s="6">
        <v>528</v>
      </c>
      <c r="F97" s="6">
        <v>356</v>
      </c>
      <c r="G97" s="6">
        <v>727</v>
      </c>
      <c r="H97" s="7">
        <v>41</v>
      </c>
      <c r="I97" s="7">
        <v>109</v>
      </c>
      <c r="J97" s="7">
        <f t="shared" si="2"/>
        <v>78132</v>
      </c>
      <c r="K97" s="5">
        <v>243884295.34</v>
      </c>
      <c r="L97" s="9">
        <v>232154</v>
      </c>
      <c r="N97" s="4" t="s">
        <v>515</v>
      </c>
      <c r="O97">
        <f t="shared" si="3"/>
        <v>42200</v>
      </c>
    </row>
    <row r="98" spans="1:15" x14ac:dyDescent="0.25">
      <c r="A98" s="3">
        <v>4107108</v>
      </c>
      <c r="B98" s="3" t="s">
        <v>325</v>
      </c>
      <c r="C98" s="6">
        <v>20239</v>
      </c>
      <c r="D98">
        <v>788888</v>
      </c>
      <c r="E98" s="6">
        <v>295</v>
      </c>
      <c r="F98" s="6">
        <v>411</v>
      </c>
      <c r="G98" s="6">
        <v>267</v>
      </c>
      <c r="H98" s="7">
        <v>1</v>
      </c>
      <c r="I98" s="7">
        <v>36</v>
      </c>
      <c r="J98" s="7">
        <f t="shared" si="2"/>
        <v>810137</v>
      </c>
      <c r="K98" s="5">
        <v>125322175.27</v>
      </c>
      <c r="L98" s="9">
        <v>398679</v>
      </c>
      <c r="N98" s="4" t="s">
        <v>516</v>
      </c>
      <c r="O98">
        <f t="shared" si="3"/>
        <v>788888</v>
      </c>
    </row>
    <row r="99" spans="1:15" x14ac:dyDescent="0.25">
      <c r="A99" s="3">
        <v>4107157</v>
      </c>
      <c r="B99" s="3" t="s">
        <v>167</v>
      </c>
      <c r="C99" s="6">
        <v>30181</v>
      </c>
      <c r="D99">
        <v>449366</v>
      </c>
      <c r="E99" s="6">
        <v>394</v>
      </c>
      <c r="F99" s="6">
        <v>6570</v>
      </c>
      <c r="G99" s="6">
        <v>370</v>
      </c>
      <c r="H99" s="7">
        <v>12</v>
      </c>
      <c r="I99" s="7">
        <v>45</v>
      </c>
      <c r="J99" s="7">
        <f t="shared" si="2"/>
        <v>486938</v>
      </c>
      <c r="K99" s="5">
        <v>117030097.58</v>
      </c>
      <c r="L99" s="9">
        <v>70626</v>
      </c>
      <c r="N99" s="4" t="s">
        <v>517</v>
      </c>
      <c r="O99">
        <f t="shared" si="3"/>
        <v>449366</v>
      </c>
    </row>
    <row r="100" spans="1:15" x14ac:dyDescent="0.25">
      <c r="A100" s="3">
        <v>4107124</v>
      </c>
      <c r="B100" s="3" t="s">
        <v>276</v>
      </c>
      <c r="C100" s="6">
        <v>37081</v>
      </c>
      <c r="D100">
        <v>34300</v>
      </c>
      <c r="E100" s="6">
        <v>1065</v>
      </c>
      <c r="F100" s="6">
        <v>6638</v>
      </c>
      <c r="G100" s="6">
        <v>804</v>
      </c>
      <c r="H100" s="7">
        <v>116</v>
      </c>
      <c r="I100" s="7">
        <v>61</v>
      </c>
      <c r="J100" s="7">
        <f t="shared" si="2"/>
        <v>80065</v>
      </c>
      <c r="K100" s="5">
        <v>252680774.47999999</v>
      </c>
      <c r="L100" s="9">
        <v>112920</v>
      </c>
      <c r="N100" s="4" t="s">
        <v>518</v>
      </c>
      <c r="O100">
        <f t="shared" si="3"/>
        <v>34300</v>
      </c>
    </row>
    <row r="101" spans="1:15" x14ac:dyDescent="0.25">
      <c r="A101" s="3">
        <v>4107207</v>
      </c>
      <c r="B101" s="3" t="s">
        <v>37</v>
      </c>
      <c r="C101" s="6">
        <v>29138</v>
      </c>
      <c r="D101">
        <v>9233158</v>
      </c>
      <c r="E101" s="6">
        <v>1266</v>
      </c>
      <c r="F101" s="6">
        <v>19607</v>
      </c>
      <c r="G101" s="6">
        <v>369</v>
      </c>
      <c r="H101" s="7">
        <v>107</v>
      </c>
      <c r="I101" s="7">
        <v>3</v>
      </c>
      <c r="J101" s="7">
        <f t="shared" si="2"/>
        <v>9283648</v>
      </c>
      <c r="K101" s="5">
        <v>2022494939.1500001</v>
      </c>
      <c r="L101" s="9">
        <v>1798727</v>
      </c>
      <c r="N101" s="4" t="s">
        <v>519</v>
      </c>
      <c r="O101">
        <f t="shared" si="3"/>
        <v>9233158</v>
      </c>
    </row>
    <row r="102" spans="1:15" x14ac:dyDescent="0.25">
      <c r="A102" s="3">
        <v>4107256</v>
      </c>
      <c r="B102" s="3" t="s">
        <v>383</v>
      </c>
      <c r="C102" s="6">
        <v>55590</v>
      </c>
      <c r="D102">
        <v>540000</v>
      </c>
      <c r="E102" s="6">
        <v>685</v>
      </c>
      <c r="F102" s="6">
        <v>297</v>
      </c>
      <c r="G102" s="6">
        <v>714</v>
      </c>
      <c r="H102" s="7">
        <v>67</v>
      </c>
      <c r="I102" s="7">
        <v>109</v>
      </c>
      <c r="J102" s="7">
        <f t="shared" si="2"/>
        <v>597462</v>
      </c>
      <c r="K102" s="5">
        <v>311091340.38</v>
      </c>
      <c r="L102" s="9">
        <v>677827</v>
      </c>
      <c r="N102" s="4" t="s">
        <v>520</v>
      </c>
      <c r="O102">
        <f t="shared" si="3"/>
        <v>540000</v>
      </c>
    </row>
    <row r="103" spans="1:15" x14ac:dyDescent="0.25">
      <c r="A103" s="3">
        <v>4107306</v>
      </c>
      <c r="B103" s="3" t="s">
        <v>307</v>
      </c>
      <c r="C103" s="6">
        <v>1275</v>
      </c>
      <c r="D103">
        <v>460369</v>
      </c>
      <c r="E103" s="6">
        <v>93</v>
      </c>
      <c r="F103" s="6">
        <v>510</v>
      </c>
      <c r="G103" s="6">
        <v>43</v>
      </c>
      <c r="H103" s="7">
        <v>0</v>
      </c>
      <c r="I103" s="7">
        <v>3</v>
      </c>
      <c r="J103" s="7">
        <f t="shared" si="2"/>
        <v>462293</v>
      </c>
      <c r="K103" s="5">
        <v>141861507.56</v>
      </c>
      <c r="L103" s="9">
        <v>218743</v>
      </c>
      <c r="N103" s="4" t="s">
        <v>521</v>
      </c>
      <c r="O103">
        <f t="shared" si="3"/>
        <v>460369</v>
      </c>
    </row>
    <row r="104" spans="1:15" x14ac:dyDescent="0.25">
      <c r="A104" s="3">
        <v>4128633</v>
      </c>
      <c r="B104" s="3" t="s">
        <v>201</v>
      </c>
      <c r="C104" s="6">
        <v>8733</v>
      </c>
      <c r="D104">
        <v>69559</v>
      </c>
      <c r="E104" s="6">
        <v>163</v>
      </c>
      <c r="F104" s="6">
        <v>238</v>
      </c>
      <c r="G104" s="6">
        <v>144</v>
      </c>
      <c r="H104" s="7">
        <v>0</v>
      </c>
      <c r="I104" s="7">
        <v>39</v>
      </c>
      <c r="J104" s="7">
        <f t="shared" si="2"/>
        <v>78876</v>
      </c>
      <c r="K104" s="5">
        <v>298239026.89999998</v>
      </c>
      <c r="L104" s="9">
        <v>89390</v>
      </c>
      <c r="N104" s="4" t="s">
        <v>522</v>
      </c>
      <c r="O104">
        <f t="shared" si="3"/>
        <v>69559</v>
      </c>
    </row>
    <row r="105" spans="1:15" x14ac:dyDescent="0.25">
      <c r="A105" s="3">
        <v>4107405</v>
      </c>
      <c r="B105" s="3" t="s">
        <v>229</v>
      </c>
      <c r="C105" s="6">
        <v>21421</v>
      </c>
      <c r="D105">
        <v>2548558</v>
      </c>
      <c r="E105" s="6">
        <v>425</v>
      </c>
      <c r="F105" s="6">
        <v>42746</v>
      </c>
      <c r="G105" s="6">
        <v>194</v>
      </c>
      <c r="H105" s="7">
        <v>54</v>
      </c>
      <c r="I105" s="7">
        <v>0</v>
      </c>
      <c r="J105" s="7">
        <f t="shared" si="2"/>
        <v>2613398</v>
      </c>
      <c r="K105" s="5">
        <v>657908845.38999999</v>
      </c>
      <c r="L105" s="9">
        <v>244685</v>
      </c>
      <c r="N105" s="4" t="s">
        <v>523</v>
      </c>
      <c r="O105">
        <f t="shared" si="3"/>
        <v>2548558</v>
      </c>
    </row>
    <row r="106" spans="1:15" x14ac:dyDescent="0.25">
      <c r="A106" s="3">
        <v>4107504</v>
      </c>
      <c r="B106" s="3" t="s">
        <v>5</v>
      </c>
      <c r="C106" s="6">
        <v>6149</v>
      </c>
      <c r="D106">
        <v>864742</v>
      </c>
      <c r="E106" s="6">
        <v>751</v>
      </c>
      <c r="F106" s="6">
        <v>4613</v>
      </c>
      <c r="G106" s="6">
        <v>149</v>
      </c>
      <c r="H106" s="7">
        <v>6</v>
      </c>
      <c r="I106" s="7">
        <v>27</v>
      </c>
      <c r="J106" s="7">
        <f t="shared" si="2"/>
        <v>876437</v>
      </c>
      <c r="K106" s="5">
        <v>453743458.43000001</v>
      </c>
      <c r="L106" s="9">
        <v>554004</v>
      </c>
      <c r="N106" s="4" t="s">
        <v>524</v>
      </c>
      <c r="O106">
        <f t="shared" si="3"/>
        <v>864742</v>
      </c>
    </row>
    <row r="107" spans="1:15" x14ac:dyDescent="0.25">
      <c r="A107" s="3">
        <v>4107538</v>
      </c>
      <c r="B107" s="3" t="s">
        <v>371</v>
      </c>
      <c r="C107" s="6">
        <v>4494</v>
      </c>
      <c r="D107">
        <v>600691</v>
      </c>
      <c r="E107" s="6">
        <v>480</v>
      </c>
      <c r="F107" s="6">
        <v>191386</v>
      </c>
      <c r="G107" s="6">
        <v>54</v>
      </c>
      <c r="H107" s="7">
        <v>34</v>
      </c>
      <c r="I107" s="7">
        <v>2</v>
      </c>
      <c r="J107" s="7">
        <f t="shared" si="2"/>
        <v>797141</v>
      </c>
      <c r="K107" s="5">
        <v>485614615.98000002</v>
      </c>
      <c r="L107" s="9">
        <v>292780</v>
      </c>
      <c r="N107" s="4" t="s">
        <v>525</v>
      </c>
      <c r="O107">
        <f t="shared" si="3"/>
        <v>600691</v>
      </c>
    </row>
    <row r="108" spans="1:15" x14ac:dyDescent="0.25">
      <c r="A108" s="3">
        <v>4107520</v>
      </c>
      <c r="B108" s="3" t="s">
        <v>390</v>
      </c>
      <c r="C108" s="6">
        <v>27823</v>
      </c>
      <c r="D108">
        <v>665000</v>
      </c>
      <c r="E108" s="6">
        <v>42</v>
      </c>
      <c r="F108" s="6">
        <v>161</v>
      </c>
      <c r="G108" s="6">
        <v>145</v>
      </c>
      <c r="H108" s="7">
        <v>0</v>
      </c>
      <c r="I108" s="7">
        <v>1</v>
      </c>
      <c r="J108" s="7">
        <f t="shared" si="2"/>
        <v>693172</v>
      </c>
      <c r="K108" s="5">
        <v>161580739.47</v>
      </c>
      <c r="L108" s="9">
        <v>61774</v>
      </c>
      <c r="N108" s="4" t="s">
        <v>526</v>
      </c>
      <c r="O108">
        <f t="shared" si="3"/>
        <v>665000</v>
      </c>
    </row>
    <row r="109" spans="1:15" x14ac:dyDescent="0.25">
      <c r="A109" s="3">
        <v>4107546</v>
      </c>
      <c r="B109" s="3" t="s">
        <v>279</v>
      </c>
      <c r="C109" s="6">
        <v>21437</v>
      </c>
      <c r="D109">
        <v>432300</v>
      </c>
      <c r="E109" s="6">
        <v>750</v>
      </c>
      <c r="F109" s="6">
        <v>8771</v>
      </c>
      <c r="G109" s="6">
        <v>255</v>
      </c>
      <c r="H109" s="7">
        <v>62</v>
      </c>
      <c r="I109" s="7">
        <v>2</v>
      </c>
      <c r="J109" s="7">
        <f t="shared" si="2"/>
        <v>463577</v>
      </c>
      <c r="K109" s="5">
        <v>276439962.19</v>
      </c>
      <c r="L109" s="9">
        <v>159991</v>
      </c>
      <c r="N109" s="4" t="s">
        <v>527</v>
      </c>
      <c r="O109">
        <f t="shared" si="3"/>
        <v>432300</v>
      </c>
    </row>
    <row r="110" spans="1:15" x14ac:dyDescent="0.25">
      <c r="A110" s="3">
        <v>4107553</v>
      </c>
      <c r="B110" s="3" t="s">
        <v>140</v>
      </c>
      <c r="C110" s="6">
        <v>10299</v>
      </c>
      <c r="D110">
        <v>317851</v>
      </c>
      <c r="E110" s="6">
        <v>449</v>
      </c>
      <c r="F110" s="6">
        <v>345</v>
      </c>
      <c r="G110" s="6">
        <v>147</v>
      </c>
      <c r="H110" s="7">
        <v>23</v>
      </c>
      <c r="I110" s="7">
        <v>10</v>
      </c>
      <c r="J110" s="7">
        <f t="shared" si="2"/>
        <v>329124</v>
      </c>
      <c r="K110" s="5">
        <v>296731331.24000001</v>
      </c>
      <c r="L110" s="9">
        <v>217110</v>
      </c>
      <c r="N110" s="4" t="s">
        <v>528</v>
      </c>
      <c r="O110">
        <f t="shared" si="3"/>
        <v>317851</v>
      </c>
    </row>
    <row r="111" spans="1:15" x14ac:dyDescent="0.25">
      <c r="A111" s="3">
        <v>4107603</v>
      </c>
      <c r="B111" s="3" t="s">
        <v>56</v>
      </c>
      <c r="C111" s="6">
        <v>33114</v>
      </c>
      <c r="D111">
        <v>185000</v>
      </c>
      <c r="E111" s="6">
        <v>917</v>
      </c>
      <c r="F111" s="6">
        <v>842</v>
      </c>
      <c r="G111" s="6">
        <v>1067</v>
      </c>
      <c r="H111" s="7">
        <v>26</v>
      </c>
      <c r="I111" s="7">
        <v>174</v>
      </c>
      <c r="J111" s="7">
        <f t="shared" si="2"/>
        <v>221140</v>
      </c>
      <c r="K111" s="5">
        <v>374125572.31999999</v>
      </c>
      <c r="L111" s="9">
        <v>471861</v>
      </c>
      <c r="N111" s="4" t="s">
        <v>529</v>
      </c>
      <c r="O111">
        <f t="shared" si="3"/>
        <v>185000</v>
      </c>
    </row>
    <row r="112" spans="1:15" x14ac:dyDescent="0.25">
      <c r="A112" s="3">
        <v>4107652</v>
      </c>
      <c r="B112" s="3" t="s">
        <v>215</v>
      </c>
      <c r="C112" s="6">
        <v>651</v>
      </c>
      <c r="D112">
        <v>370800</v>
      </c>
      <c r="E112" s="6">
        <v>427</v>
      </c>
      <c r="F112" s="6">
        <v>105</v>
      </c>
      <c r="G112" s="6">
        <v>286</v>
      </c>
      <c r="H112" s="7">
        <v>10</v>
      </c>
      <c r="I112" s="7">
        <v>1</v>
      </c>
      <c r="J112" s="7">
        <f t="shared" si="2"/>
        <v>372280</v>
      </c>
      <c r="K112" s="5">
        <v>66180126.490000002</v>
      </c>
      <c r="L112" s="9">
        <v>2775061</v>
      </c>
      <c r="N112" s="4" t="s">
        <v>530</v>
      </c>
      <c r="O112">
        <f t="shared" si="3"/>
        <v>370800</v>
      </c>
    </row>
    <row r="113" spans="1:15" x14ac:dyDescent="0.25">
      <c r="A113" s="3">
        <v>4107702</v>
      </c>
      <c r="B113" s="3" t="s">
        <v>143</v>
      </c>
      <c r="C113" s="6">
        <v>3338</v>
      </c>
      <c r="D113">
        <v>310142</v>
      </c>
      <c r="E113" s="6">
        <v>117</v>
      </c>
      <c r="F113" s="6">
        <v>418</v>
      </c>
      <c r="G113" s="6">
        <v>74</v>
      </c>
      <c r="H113" s="7">
        <v>5</v>
      </c>
      <c r="I113" s="7">
        <v>5</v>
      </c>
      <c r="J113" s="7">
        <f t="shared" si="2"/>
        <v>314099</v>
      </c>
      <c r="K113" s="5">
        <v>215583094.47999999</v>
      </c>
      <c r="L113" s="9">
        <v>212062</v>
      </c>
      <c r="N113" s="4" t="s">
        <v>531</v>
      </c>
      <c r="O113">
        <f t="shared" si="3"/>
        <v>310142</v>
      </c>
    </row>
    <row r="114" spans="1:15" x14ac:dyDescent="0.25">
      <c r="A114" s="3">
        <v>4107736</v>
      </c>
      <c r="B114" s="3" t="s">
        <v>246</v>
      </c>
      <c r="C114" s="6">
        <v>4785</v>
      </c>
      <c r="D114">
        <v>831400</v>
      </c>
      <c r="E114" s="6">
        <v>981</v>
      </c>
      <c r="F114" s="6">
        <v>1983</v>
      </c>
      <c r="G114" s="6">
        <v>356</v>
      </c>
      <c r="H114" s="7">
        <v>88</v>
      </c>
      <c r="I114" s="7">
        <v>17</v>
      </c>
      <c r="J114" s="7">
        <f t="shared" si="2"/>
        <v>839610</v>
      </c>
      <c r="K114" s="5">
        <v>370442220.25</v>
      </c>
      <c r="L114" s="9">
        <v>224680</v>
      </c>
      <c r="N114" s="4" t="s">
        <v>532</v>
      </c>
      <c r="O114">
        <f t="shared" si="3"/>
        <v>831400</v>
      </c>
    </row>
    <row r="115" spans="1:15" x14ac:dyDescent="0.25">
      <c r="A115" s="3">
        <v>4107751</v>
      </c>
      <c r="B115" s="3" t="s">
        <v>260</v>
      </c>
      <c r="C115" s="6">
        <v>7434</v>
      </c>
      <c r="D115">
        <v>28000</v>
      </c>
      <c r="E115" s="6">
        <v>76</v>
      </c>
      <c r="F115" s="6">
        <v>138</v>
      </c>
      <c r="G115" s="6">
        <v>200</v>
      </c>
      <c r="H115" s="7">
        <v>0</v>
      </c>
      <c r="I115" s="7">
        <v>26</v>
      </c>
      <c r="J115" s="7">
        <f t="shared" si="2"/>
        <v>35874</v>
      </c>
      <c r="K115" s="5">
        <v>76713754.370000005</v>
      </c>
      <c r="L115" s="9">
        <v>138616</v>
      </c>
      <c r="N115" s="4" t="s">
        <v>425</v>
      </c>
      <c r="O115">
        <f t="shared" si="3"/>
        <v>28000</v>
      </c>
    </row>
    <row r="116" spans="1:15" x14ac:dyDescent="0.25">
      <c r="A116" s="3">
        <v>4107850</v>
      </c>
      <c r="B116" s="3" t="s">
        <v>232</v>
      </c>
      <c r="C116" s="6">
        <v>14215</v>
      </c>
      <c r="D116">
        <v>851410</v>
      </c>
      <c r="E116" s="6">
        <v>663</v>
      </c>
      <c r="F116" s="6">
        <v>6401</v>
      </c>
      <c r="G116" s="6">
        <v>214</v>
      </c>
      <c r="H116" s="7">
        <v>15</v>
      </c>
      <c r="I116" s="7">
        <v>6</v>
      </c>
      <c r="J116" s="7">
        <f t="shared" si="2"/>
        <v>872924</v>
      </c>
      <c r="K116" s="5">
        <v>284024730.38999999</v>
      </c>
      <c r="L116" s="9">
        <v>152318</v>
      </c>
      <c r="N116" s="4" t="s">
        <v>533</v>
      </c>
      <c r="O116">
        <f t="shared" si="3"/>
        <v>851410</v>
      </c>
    </row>
    <row r="117" spans="1:15" x14ac:dyDescent="0.25">
      <c r="A117" s="3">
        <v>4107801</v>
      </c>
      <c r="B117" s="3" t="s">
        <v>314</v>
      </c>
      <c r="C117" s="6">
        <v>3252</v>
      </c>
      <c r="D117">
        <v>938649</v>
      </c>
      <c r="E117" s="6">
        <v>90</v>
      </c>
      <c r="F117" s="6">
        <v>505</v>
      </c>
      <c r="G117" s="6">
        <v>63</v>
      </c>
      <c r="H117" s="7">
        <v>0</v>
      </c>
      <c r="I117" s="7">
        <v>7</v>
      </c>
      <c r="J117" s="7">
        <f t="shared" si="2"/>
        <v>942566</v>
      </c>
      <c r="K117" s="5">
        <v>245792441.38</v>
      </c>
      <c r="L117" s="9">
        <v>234199</v>
      </c>
      <c r="N117" s="4" t="s">
        <v>534</v>
      </c>
      <c r="O117">
        <f t="shared" si="3"/>
        <v>938649</v>
      </c>
    </row>
    <row r="118" spans="1:15" x14ac:dyDescent="0.25">
      <c r="A118" s="3">
        <v>4107900</v>
      </c>
      <c r="B118" s="3" t="s">
        <v>308</v>
      </c>
      <c r="C118" s="6">
        <v>563</v>
      </c>
      <c r="D118">
        <v>132648</v>
      </c>
      <c r="E118" s="6">
        <v>523</v>
      </c>
      <c r="F118" s="6">
        <v>385</v>
      </c>
      <c r="G118" s="6">
        <v>51</v>
      </c>
      <c r="H118" s="7">
        <v>31</v>
      </c>
      <c r="I118" s="7">
        <v>0</v>
      </c>
      <c r="J118" s="7">
        <f t="shared" si="2"/>
        <v>134201</v>
      </c>
      <c r="K118" s="5">
        <v>144569604.5</v>
      </c>
      <c r="L118" s="9">
        <v>261372</v>
      </c>
      <c r="N118" s="4" t="s">
        <v>535</v>
      </c>
      <c r="O118">
        <f t="shared" si="3"/>
        <v>132648</v>
      </c>
    </row>
    <row r="119" spans="1:15" x14ac:dyDescent="0.25">
      <c r="A119" s="3">
        <v>4108007</v>
      </c>
      <c r="B119" s="3" t="s">
        <v>287</v>
      </c>
      <c r="C119" s="6">
        <v>1661</v>
      </c>
      <c r="D119">
        <v>345500</v>
      </c>
      <c r="E119" s="6">
        <v>215</v>
      </c>
      <c r="F119" s="6">
        <v>127</v>
      </c>
      <c r="G119" s="6">
        <v>71</v>
      </c>
      <c r="H119" s="7">
        <v>0</v>
      </c>
      <c r="I119" s="7">
        <v>6</v>
      </c>
      <c r="J119" s="7">
        <f t="shared" si="2"/>
        <v>347580</v>
      </c>
      <c r="K119" s="5">
        <v>210410831.56999999</v>
      </c>
      <c r="L119" s="9">
        <v>469057</v>
      </c>
      <c r="N119" s="4" t="s">
        <v>536</v>
      </c>
      <c r="O119">
        <f t="shared" si="3"/>
        <v>345500</v>
      </c>
    </row>
    <row r="120" spans="1:15" x14ac:dyDescent="0.25">
      <c r="A120" s="3">
        <v>4108106</v>
      </c>
      <c r="B120" s="3" t="s">
        <v>294</v>
      </c>
      <c r="C120" s="6">
        <v>6317</v>
      </c>
      <c r="D120">
        <v>67000</v>
      </c>
      <c r="E120" s="6">
        <v>282</v>
      </c>
      <c r="F120" s="6">
        <v>27</v>
      </c>
      <c r="G120" s="6">
        <v>152</v>
      </c>
      <c r="H120" s="7">
        <v>14</v>
      </c>
      <c r="I120" s="7">
        <v>41</v>
      </c>
      <c r="J120" s="7">
        <f t="shared" si="2"/>
        <v>73833</v>
      </c>
      <c r="K120" s="5">
        <v>79619471.890000001</v>
      </c>
      <c r="L120" s="9">
        <v>75431</v>
      </c>
      <c r="N120" s="4" t="s">
        <v>537</v>
      </c>
      <c r="O120">
        <f t="shared" si="3"/>
        <v>67000</v>
      </c>
    </row>
    <row r="121" spans="1:15" x14ac:dyDescent="0.25">
      <c r="A121" s="3">
        <v>4108205</v>
      </c>
      <c r="B121" s="3" t="s">
        <v>366</v>
      </c>
      <c r="C121" s="6">
        <v>9853</v>
      </c>
      <c r="D121">
        <v>3959005</v>
      </c>
      <c r="E121" s="6">
        <v>250</v>
      </c>
      <c r="F121" s="6">
        <v>32490</v>
      </c>
      <c r="G121" s="6">
        <v>35</v>
      </c>
      <c r="H121" s="7">
        <v>0</v>
      </c>
      <c r="I121" s="7">
        <v>3</v>
      </c>
      <c r="J121" s="7">
        <f t="shared" si="2"/>
        <v>4001636</v>
      </c>
      <c r="K121" s="5">
        <v>702957004.08000004</v>
      </c>
      <c r="L121" s="9">
        <v>313719</v>
      </c>
      <c r="N121" s="4" t="s">
        <v>538</v>
      </c>
      <c r="O121">
        <f t="shared" si="3"/>
        <v>3959005</v>
      </c>
    </row>
    <row r="122" spans="1:15" x14ac:dyDescent="0.25">
      <c r="A122" s="3">
        <v>4108304</v>
      </c>
      <c r="B122" s="3" t="s">
        <v>13</v>
      </c>
      <c r="C122" s="6">
        <v>2202</v>
      </c>
      <c r="D122">
        <v>158000</v>
      </c>
      <c r="E122" s="6">
        <v>1251</v>
      </c>
      <c r="F122" s="6">
        <v>2027</v>
      </c>
      <c r="G122" s="6">
        <v>436</v>
      </c>
      <c r="H122" s="7">
        <v>135</v>
      </c>
      <c r="I122" s="7">
        <v>4</v>
      </c>
      <c r="J122" s="7">
        <f t="shared" si="2"/>
        <v>164055</v>
      </c>
      <c r="K122" s="5">
        <v>204656393.94</v>
      </c>
      <c r="L122" s="9">
        <v>17864927</v>
      </c>
      <c r="N122" s="4" t="s">
        <v>539</v>
      </c>
      <c r="O122">
        <f t="shared" si="3"/>
        <v>158000</v>
      </c>
    </row>
    <row r="123" spans="1:15" x14ac:dyDescent="0.25">
      <c r="A123" s="3">
        <v>4108452</v>
      </c>
      <c r="B123" s="3" t="s">
        <v>237</v>
      </c>
      <c r="C123" s="6">
        <v>5577</v>
      </c>
      <c r="D123">
        <v>9200</v>
      </c>
      <c r="E123" s="6">
        <v>658</v>
      </c>
      <c r="F123" s="6">
        <v>184</v>
      </c>
      <c r="G123" s="6">
        <v>184</v>
      </c>
      <c r="H123" s="7">
        <v>8</v>
      </c>
      <c r="I123" s="7">
        <v>33</v>
      </c>
      <c r="J123" s="7">
        <f t="shared" si="2"/>
        <v>15844</v>
      </c>
      <c r="K123" s="5">
        <v>201279167.46000001</v>
      </c>
      <c r="L123" s="9">
        <v>171317</v>
      </c>
      <c r="N123" s="4" t="s">
        <v>540</v>
      </c>
      <c r="O123">
        <f t="shared" si="3"/>
        <v>9200</v>
      </c>
    </row>
    <row r="124" spans="1:15" x14ac:dyDescent="0.25">
      <c r="A124" s="3">
        <v>4108320</v>
      </c>
      <c r="B124" s="3" t="s">
        <v>388</v>
      </c>
      <c r="C124" s="6">
        <v>15549</v>
      </c>
      <c r="D124">
        <v>1055000</v>
      </c>
      <c r="E124" s="6">
        <v>383</v>
      </c>
      <c r="F124" s="6">
        <v>2121</v>
      </c>
      <c r="G124" s="6">
        <v>179</v>
      </c>
      <c r="H124" s="7">
        <v>38</v>
      </c>
      <c r="I124" s="7">
        <v>10</v>
      </c>
      <c r="J124" s="7">
        <f t="shared" si="2"/>
        <v>1073280</v>
      </c>
      <c r="K124" s="5">
        <v>326844362.94</v>
      </c>
      <c r="L124" s="9">
        <v>241461</v>
      </c>
      <c r="N124" s="4" t="s">
        <v>541</v>
      </c>
      <c r="O124">
        <f t="shared" si="3"/>
        <v>1055000</v>
      </c>
    </row>
    <row r="125" spans="1:15" x14ac:dyDescent="0.25">
      <c r="A125" s="3">
        <v>4108403</v>
      </c>
      <c r="B125" s="3" t="s">
        <v>43</v>
      </c>
      <c r="C125" s="6">
        <v>40287</v>
      </c>
      <c r="D125">
        <v>3913340</v>
      </c>
      <c r="E125" s="6">
        <v>4450</v>
      </c>
      <c r="F125" s="6">
        <v>45540</v>
      </c>
      <c r="G125" s="6">
        <v>860</v>
      </c>
      <c r="H125" s="7">
        <v>193</v>
      </c>
      <c r="I125" s="7">
        <v>20</v>
      </c>
      <c r="J125" s="7">
        <f t="shared" si="2"/>
        <v>4004690</v>
      </c>
      <c r="K125" s="5">
        <v>1605056023.02</v>
      </c>
      <c r="L125" s="9">
        <v>3194302</v>
      </c>
      <c r="N125" s="4" t="s">
        <v>542</v>
      </c>
      <c r="O125">
        <f t="shared" si="3"/>
        <v>3913340</v>
      </c>
    </row>
    <row r="126" spans="1:15" x14ac:dyDescent="0.25">
      <c r="A126" s="3">
        <v>4108502</v>
      </c>
      <c r="B126" s="3" t="s">
        <v>124</v>
      </c>
      <c r="C126" s="6">
        <v>10655</v>
      </c>
      <c r="D126">
        <v>14000</v>
      </c>
      <c r="E126" s="6">
        <v>1418</v>
      </c>
      <c r="F126" s="6">
        <v>411</v>
      </c>
      <c r="G126" s="6">
        <v>635</v>
      </c>
      <c r="H126" s="7">
        <v>25</v>
      </c>
      <c r="I126" s="7">
        <v>12</v>
      </c>
      <c r="J126" s="7">
        <f t="shared" si="2"/>
        <v>27156</v>
      </c>
      <c r="K126" s="5">
        <v>908052572.91999996</v>
      </c>
      <c r="L126" s="9">
        <v>358242</v>
      </c>
      <c r="N126" s="4" t="s">
        <v>543</v>
      </c>
      <c r="O126">
        <f t="shared" si="3"/>
        <v>14000</v>
      </c>
    </row>
    <row r="127" spans="1:15" x14ac:dyDescent="0.25">
      <c r="A127" s="3">
        <v>4108551</v>
      </c>
      <c r="B127" s="3" t="s">
        <v>255</v>
      </c>
      <c r="C127" s="6">
        <v>10508</v>
      </c>
      <c r="D127">
        <v>174120</v>
      </c>
      <c r="E127" s="6">
        <v>155</v>
      </c>
      <c r="F127" s="6">
        <v>663</v>
      </c>
      <c r="G127" s="6">
        <v>202</v>
      </c>
      <c r="H127" s="7">
        <v>31</v>
      </c>
      <c r="I127" s="7">
        <v>60</v>
      </c>
      <c r="J127" s="7">
        <f t="shared" si="2"/>
        <v>185739</v>
      </c>
      <c r="K127" s="5">
        <v>115441158.31999999</v>
      </c>
      <c r="L127" s="9">
        <v>64765</v>
      </c>
      <c r="N127" s="4" t="s">
        <v>544</v>
      </c>
      <c r="O127">
        <f t="shared" si="3"/>
        <v>174120</v>
      </c>
    </row>
    <row r="128" spans="1:15" x14ac:dyDescent="0.25">
      <c r="A128" s="3">
        <v>4108601</v>
      </c>
      <c r="B128" s="3" t="s">
        <v>6</v>
      </c>
      <c r="C128" s="6">
        <v>11853</v>
      </c>
      <c r="D128">
        <v>1007540</v>
      </c>
      <c r="E128" s="6">
        <v>854</v>
      </c>
      <c r="F128" s="6">
        <v>11597</v>
      </c>
      <c r="G128" s="6">
        <v>355</v>
      </c>
      <c r="H128" s="7">
        <v>82</v>
      </c>
      <c r="I128" s="7">
        <v>25</v>
      </c>
      <c r="J128" s="7">
        <f t="shared" si="2"/>
        <v>1032306</v>
      </c>
      <c r="K128" s="5">
        <v>812576801.62</v>
      </c>
      <c r="L128" s="9">
        <v>1020035</v>
      </c>
      <c r="N128" s="4" t="s">
        <v>545</v>
      </c>
      <c r="O128">
        <f t="shared" si="3"/>
        <v>1007540</v>
      </c>
    </row>
    <row r="129" spans="1:15" x14ac:dyDescent="0.25">
      <c r="A129" s="3">
        <v>4108650</v>
      </c>
      <c r="B129" s="3" t="s">
        <v>238</v>
      </c>
      <c r="C129" s="6">
        <v>34758</v>
      </c>
      <c r="D129">
        <v>54600</v>
      </c>
      <c r="E129" s="6">
        <v>1508</v>
      </c>
      <c r="F129" s="6">
        <v>2870</v>
      </c>
      <c r="G129" s="6">
        <v>725</v>
      </c>
      <c r="H129" s="7">
        <v>326</v>
      </c>
      <c r="I129" s="7">
        <v>73</v>
      </c>
      <c r="J129" s="7">
        <f t="shared" si="2"/>
        <v>94860</v>
      </c>
      <c r="K129" s="5">
        <v>442859878.63999999</v>
      </c>
      <c r="L129" s="9">
        <v>282575</v>
      </c>
      <c r="N129" s="4" t="s">
        <v>546</v>
      </c>
      <c r="O129">
        <f t="shared" si="3"/>
        <v>54600</v>
      </c>
    </row>
    <row r="130" spans="1:15" x14ac:dyDescent="0.25">
      <c r="A130" s="3">
        <v>4108700</v>
      </c>
      <c r="B130" s="3" t="s">
        <v>58</v>
      </c>
      <c r="C130" s="6">
        <v>38545</v>
      </c>
      <c r="D130">
        <v>210308</v>
      </c>
      <c r="E130" s="6">
        <v>539</v>
      </c>
      <c r="F130" s="6">
        <v>896</v>
      </c>
      <c r="G130" s="6">
        <v>861</v>
      </c>
      <c r="H130" s="7">
        <v>18</v>
      </c>
      <c r="I130" s="7">
        <v>78</v>
      </c>
      <c r="J130" s="7">
        <f t="shared" si="2"/>
        <v>251245</v>
      </c>
      <c r="K130" s="5">
        <v>176250302.88</v>
      </c>
      <c r="L130" s="9">
        <v>137762</v>
      </c>
      <c r="N130" s="4" t="s">
        <v>547</v>
      </c>
      <c r="O130">
        <f t="shared" si="3"/>
        <v>210308</v>
      </c>
    </row>
    <row r="131" spans="1:15" x14ac:dyDescent="0.25">
      <c r="A131" s="3">
        <v>4108809</v>
      </c>
      <c r="B131" s="3" t="s">
        <v>111</v>
      </c>
      <c r="C131" s="6">
        <v>2937</v>
      </c>
      <c r="D131">
        <v>571972</v>
      </c>
      <c r="E131" s="6">
        <v>628</v>
      </c>
      <c r="F131" s="6">
        <v>1886</v>
      </c>
      <c r="G131" s="6">
        <v>100</v>
      </c>
      <c r="H131" s="7">
        <v>88</v>
      </c>
      <c r="I131" s="7">
        <v>4</v>
      </c>
      <c r="J131" s="7">
        <f t="shared" ref="J131:J194" si="4">SUM(C131+D131+E131+F131+G131+H131+I131)</f>
        <v>577615</v>
      </c>
      <c r="K131" s="5">
        <v>446091886.47000003</v>
      </c>
      <c r="L131" s="9">
        <v>1127712</v>
      </c>
      <c r="N131" s="4" t="s">
        <v>548</v>
      </c>
      <c r="O131">
        <f t="shared" ref="O131:O194" si="5">N131*1</f>
        <v>571972</v>
      </c>
    </row>
    <row r="132" spans="1:15" x14ac:dyDescent="0.25">
      <c r="A132" s="3">
        <v>4108908</v>
      </c>
      <c r="B132" s="3" t="s">
        <v>340</v>
      </c>
      <c r="C132" s="6">
        <v>44866</v>
      </c>
      <c r="D132">
        <v>811442</v>
      </c>
      <c r="E132" s="6">
        <v>493</v>
      </c>
      <c r="F132" s="6">
        <v>50</v>
      </c>
      <c r="G132" s="6">
        <v>613</v>
      </c>
      <c r="H132" s="7">
        <v>16</v>
      </c>
      <c r="I132" s="7">
        <v>47</v>
      </c>
      <c r="J132" s="7">
        <f t="shared" si="4"/>
        <v>857527</v>
      </c>
      <c r="K132" s="5">
        <v>313946921.04000002</v>
      </c>
      <c r="L132" s="9">
        <v>247216</v>
      </c>
      <c r="N132" s="4" t="s">
        <v>549</v>
      </c>
      <c r="O132">
        <f t="shared" si="5"/>
        <v>811442</v>
      </c>
    </row>
    <row r="133" spans="1:15" x14ac:dyDescent="0.25">
      <c r="A133" s="3">
        <v>4108957</v>
      </c>
      <c r="B133" s="3" t="s">
        <v>241</v>
      </c>
      <c r="C133" s="6">
        <v>6390</v>
      </c>
      <c r="D133">
        <v>21340</v>
      </c>
      <c r="E133" s="6">
        <v>611</v>
      </c>
      <c r="F133" s="6">
        <v>5433</v>
      </c>
      <c r="G133" s="6">
        <v>248</v>
      </c>
      <c r="H133" s="7">
        <v>212</v>
      </c>
      <c r="I133" s="7">
        <v>25</v>
      </c>
      <c r="J133" s="7">
        <f t="shared" si="4"/>
        <v>34259</v>
      </c>
      <c r="K133" s="5">
        <v>343292482.16000003</v>
      </c>
      <c r="L133" s="9">
        <v>268361</v>
      </c>
      <c r="N133" s="4" t="s">
        <v>550</v>
      </c>
      <c r="O133">
        <f t="shared" si="5"/>
        <v>21340</v>
      </c>
    </row>
    <row r="134" spans="1:15" x14ac:dyDescent="0.25">
      <c r="A134" s="3">
        <v>4109005</v>
      </c>
      <c r="B134" s="3" t="s">
        <v>270</v>
      </c>
      <c r="C134" s="6">
        <v>18375</v>
      </c>
      <c r="D134">
        <v>1934000</v>
      </c>
      <c r="E134" s="6">
        <v>131</v>
      </c>
      <c r="F134" s="6">
        <v>193</v>
      </c>
      <c r="G134" s="6">
        <v>222</v>
      </c>
      <c r="H134" s="7">
        <v>0</v>
      </c>
      <c r="I134" s="7">
        <v>23</v>
      </c>
      <c r="J134" s="7">
        <f t="shared" si="4"/>
        <v>1952944</v>
      </c>
      <c r="K134" s="5">
        <v>314659769.19</v>
      </c>
      <c r="L134" s="9">
        <v>138718</v>
      </c>
      <c r="N134" s="4" t="s">
        <v>551</v>
      </c>
      <c r="O134">
        <f t="shared" si="5"/>
        <v>1934000</v>
      </c>
    </row>
    <row r="135" spans="1:15" x14ac:dyDescent="0.25">
      <c r="A135" s="3">
        <v>4109104</v>
      </c>
      <c r="B135" s="3" t="s">
        <v>175</v>
      </c>
      <c r="C135" s="6">
        <v>12132</v>
      </c>
      <c r="D135">
        <v>1120000</v>
      </c>
      <c r="E135" s="6">
        <v>636</v>
      </c>
      <c r="F135" s="6">
        <v>113</v>
      </c>
      <c r="G135" s="6">
        <v>210</v>
      </c>
      <c r="H135" s="7">
        <v>4</v>
      </c>
      <c r="I135" s="7">
        <v>9</v>
      </c>
      <c r="J135" s="7">
        <f t="shared" si="4"/>
        <v>1133104</v>
      </c>
      <c r="K135" s="5">
        <v>221628866.94999999</v>
      </c>
      <c r="L135" s="9">
        <v>72239</v>
      </c>
      <c r="N135" s="4" t="s">
        <v>552</v>
      </c>
      <c r="O135">
        <f t="shared" si="5"/>
        <v>1120000</v>
      </c>
    </row>
    <row r="136" spans="1:15" x14ac:dyDescent="0.25">
      <c r="A136" s="3">
        <v>4109203</v>
      </c>
      <c r="B136" s="3" t="s">
        <v>284</v>
      </c>
      <c r="C136" s="6">
        <v>22437</v>
      </c>
      <c r="D136">
        <v>2820000</v>
      </c>
      <c r="E136" s="6">
        <v>246</v>
      </c>
      <c r="F136" s="6">
        <v>159</v>
      </c>
      <c r="G136" s="6">
        <v>383</v>
      </c>
      <c r="H136" s="7">
        <v>0</v>
      </c>
      <c r="I136" s="7">
        <v>18</v>
      </c>
      <c r="J136" s="7">
        <f t="shared" si="4"/>
        <v>2843243</v>
      </c>
      <c r="K136" s="5">
        <v>425321404.02999997</v>
      </c>
      <c r="L136" s="9">
        <v>148143</v>
      </c>
      <c r="N136" s="4" t="s">
        <v>553</v>
      </c>
      <c r="O136">
        <f t="shared" si="5"/>
        <v>2820000</v>
      </c>
    </row>
    <row r="137" spans="1:15" x14ac:dyDescent="0.25">
      <c r="A137" s="3">
        <v>4109302</v>
      </c>
      <c r="B137" s="3" t="s">
        <v>65</v>
      </c>
      <c r="C137" s="6">
        <v>123863</v>
      </c>
      <c r="D137">
        <v>1171000</v>
      </c>
      <c r="E137" s="6">
        <v>3319</v>
      </c>
      <c r="F137" s="6">
        <v>51217</v>
      </c>
      <c r="G137" s="6">
        <v>2361</v>
      </c>
      <c r="H137" s="7">
        <v>283</v>
      </c>
      <c r="I137" s="7">
        <v>251</v>
      </c>
      <c r="J137" s="7">
        <f t="shared" si="4"/>
        <v>1352294</v>
      </c>
      <c r="K137" s="5">
        <v>740898962.19000006</v>
      </c>
      <c r="L137" s="9">
        <v>471163</v>
      </c>
      <c r="N137" s="4" t="s">
        <v>554</v>
      </c>
      <c r="O137">
        <f t="shared" si="5"/>
        <v>1171000</v>
      </c>
    </row>
    <row r="138" spans="1:15" x14ac:dyDescent="0.25">
      <c r="A138" s="3">
        <v>4109401</v>
      </c>
      <c r="B138" s="3" t="s">
        <v>47</v>
      </c>
      <c r="C138" s="6">
        <v>48031</v>
      </c>
      <c r="D138">
        <v>384000</v>
      </c>
      <c r="E138" s="6">
        <v>13283</v>
      </c>
      <c r="F138" s="6">
        <v>42445</v>
      </c>
      <c r="G138" s="6">
        <v>3183</v>
      </c>
      <c r="H138" s="7">
        <v>683</v>
      </c>
      <c r="I138" s="7">
        <v>185</v>
      </c>
      <c r="J138" s="7">
        <f t="shared" si="4"/>
        <v>491810</v>
      </c>
      <c r="K138" s="5">
        <v>2330378603.0900002</v>
      </c>
      <c r="L138" s="9">
        <v>7519722</v>
      </c>
      <c r="N138" s="4" t="s">
        <v>555</v>
      </c>
      <c r="O138">
        <f t="shared" si="5"/>
        <v>384000</v>
      </c>
    </row>
    <row r="139" spans="1:15" x14ac:dyDescent="0.25">
      <c r="A139" s="3">
        <v>4109500</v>
      </c>
      <c r="B139" s="3" t="s">
        <v>317</v>
      </c>
      <c r="C139" s="6">
        <v>853</v>
      </c>
      <c r="D139">
        <v>3941</v>
      </c>
      <c r="E139" s="6">
        <v>0</v>
      </c>
      <c r="F139" s="6">
        <v>28</v>
      </c>
      <c r="G139" s="6">
        <v>53</v>
      </c>
      <c r="H139" s="7">
        <v>0</v>
      </c>
      <c r="I139" s="7">
        <v>8</v>
      </c>
      <c r="J139" s="7">
        <f t="shared" si="4"/>
        <v>4883</v>
      </c>
      <c r="K139" s="5">
        <v>76884624.709999993</v>
      </c>
      <c r="L139" s="9">
        <v>113538</v>
      </c>
      <c r="N139" s="4" t="s">
        <v>556</v>
      </c>
      <c r="O139">
        <f t="shared" si="5"/>
        <v>3941</v>
      </c>
    </row>
    <row r="140" spans="1:15" x14ac:dyDescent="0.25">
      <c r="A140" s="3">
        <v>4109609</v>
      </c>
      <c r="B140" s="3" t="s">
        <v>84</v>
      </c>
      <c r="C140" s="6">
        <v>1381</v>
      </c>
      <c r="D140">
        <v>4219</v>
      </c>
      <c r="E140" s="6">
        <v>66</v>
      </c>
      <c r="F140" s="6">
        <v>228</v>
      </c>
      <c r="G140" s="6">
        <v>70</v>
      </c>
      <c r="H140" s="7">
        <v>12</v>
      </c>
      <c r="I140" s="7">
        <v>1</v>
      </c>
      <c r="J140" s="7">
        <f t="shared" si="4"/>
        <v>5977</v>
      </c>
      <c r="K140" s="5">
        <v>228401740.75999999</v>
      </c>
      <c r="L140" s="9">
        <v>881072</v>
      </c>
      <c r="N140" s="4" t="s">
        <v>557</v>
      </c>
      <c r="O140">
        <f t="shared" si="5"/>
        <v>4219</v>
      </c>
    </row>
    <row r="141" spans="1:15" x14ac:dyDescent="0.25">
      <c r="A141" s="3">
        <v>4109658</v>
      </c>
      <c r="B141" s="3" t="s">
        <v>346</v>
      </c>
      <c r="C141" s="6">
        <v>26879</v>
      </c>
      <c r="D141">
        <v>116936</v>
      </c>
      <c r="E141" s="6">
        <v>1823</v>
      </c>
      <c r="F141" s="6">
        <v>727</v>
      </c>
      <c r="G141" s="6">
        <v>339</v>
      </c>
      <c r="H141" s="7">
        <v>229</v>
      </c>
      <c r="I141" s="7">
        <v>18</v>
      </c>
      <c r="J141" s="7">
        <f t="shared" si="4"/>
        <v>146951</v>
      </c>
      <c r="K141" s="5">
        <v>478453842.49000001</v>
      </c>
      <c r="L141" s="9">
        <v>237314</v>
      </c>
      <c r="N141" s="4" t="s">
        <v>558</v>
      </c>
      <c r="O141">
        <f t="shared" si="5"/>
        <v>116936</v>
      </c>
    </row>
    <row r="142" spans="1:15" x14ac:dyDescent="0.25">
      <c r="A142" s="3">
        <v>4109708</v>
      </c>
      <c r="B142" s="3" t="s">
        <v>59</v>
      </c>
      <c r="C142" s="6">
        <v>69017</v>
      </c>
      <c r="D142">
        <v>2200000</v>
      </c>
      <c r="E142" s="6">
        <v>1056</v>
      </c>
      <c r="F142" s="6">
        <v>522</v>
      </c>
      <c r="G142" s="6">
        <v>1418</v>
      </c>
      <c r="H142" s="7">
        <v>53</v>
      </c>
      <c r="I142" s="7">
        <v>189</v>
      </c>
      <c r="J142" s="7">
        <f t="shared" si="4"/>
        <v>2272255</v>
      </c>
      <c r="K142" s="5">
        <v>628017255.74000001</v>
      </c>
      <c r="L142" s="9">
        <v>772178</v>
      </c>
      <c r="N142" s="4" t="s">
        <v>559</v>
      </c>
      <c r="O142">
        <f t="shared" si="5"/>
        <v>2200000</v>
      </c>
    </row>
    <row r="143" spans="1:15" x14ac:dyDescent="0.25">
      <c r="A143" s="3">
        <v>4109757</v>
      </c>
      <c r="B143" s="3" t="s">
        <v>159</v>
      </c>
      <c r="C143" s="6">
        <v>9423</v>
      </c>
      <c r="D143">
        <v>1009000</v>
      </c>
      <c r="E143" s="6">
        <v>368</v>
      </c>
      <c r="F143" s="6">
        <v>338</v>
      </c>
      <c r="G143" s="6">
        <v>196</v>
      </c>
      <c r="H143" s="7">
        <v>29</v>
      </c>
      <c r="I143" s="7">
        <v>33</v>
      </c>
      <c r="J143" s="7">
        <f t="shared" si="4"/>
        <v>1019387</v>
      </c>
      <c r="K143" s="5">
        <v>173144552.91</v>
      </c>
      <c r="L143" s="9">
        <v>168510</v>
      </c>
      <c r="N143" s="4" t="s">
        <v>560</v>
      </c>
      <c r="O143">
        <f t="shared" si="5"/>
        <v>1009000</v>
      </c>
    </row>
    <row r="144" spans="1:15" x14ac:dyDescent="0.25">
      <c r="A144" s="3">
        <v>4109807</v>
      </c>
      <c r="B144" s="3" t="s">
        <v>292</v>
      </c>
      <c r="C144" s="6">
        <v>6403</v>
      </c>
      <c r="D144">
        <v>202903</v>
      </c>
      <c r="E144" s="6">
        <v>550</v>
      </c>
      <c r="F144" s="6">
        <v>790</v>
      </c>
      <c r="G144" s="6">
        <v>318</v>
      </c>
      <c r="H144" s="7">
        <v>208</v>
      </c>
      <c r="I144" s="7">
        <v>20</v>
      </c>
      <c r="J144" s="7">
        <f t="shared" si="4"/>
        <v>211192</v>
      </c>
      <c r="K144" s="5">
        <v>257733185.97999999</v>
      </c>
      <c r="L144" s="9">
        <v>2659228</v>
      </c>
      <c r="N144" s="4" t="s">
        <v>561</v>
      </c>
      <c r="O144">
        <f t="shared" si="5"/>
        <v>202903</v>
      </c>
    </row>
    <row r="145" spans="1:15" x14ac:dyDescent="0.25">
      <c r="A145" s="3">
        <v>4109906</v>
      </c>
      <c r="B145" s="3" t="s">
        <v>118</v>
      </c>
      <c r="C145" s="6">
        <v>84948</v>
      </c>
      <c r="D145">
        <v>116000</v>
      </c>
      <c r="E145" s="6">
        <v>867</v>
      </c>
      <c r="F145" s="6">
        <v>401</v>
      </c>
      <c r="G145" s="6">
        <v>901</v>
      </c>
      <c r="H145" s="7">
        <v>5</v>
      </c>
      <c r="I145" s="7">
        <v>76</v>
      </c>
      <c r="J145" s="7">
        <f t="shared" si="4"/>
        <v>203198</v>
      </c>
      <c r="K145" s="5">
        <v>368304277.97000003</v>
      </c>
      <c r="L145" s="9">
        <v>258239</v>
      </c>
      <c r="N145" s="4" t="s">
        <v>562</v>
      </c>
      <c r="O145">
        <f t="shared" si="5"/>
        <v>116000</v>
      </c>
    </row>
    <row r="146" spans="1:15" x14ac:dyDescent="0.25">
      <c r="A146" s="3">
        <v>4110003</v>
      </c>
      <c r="B146" s="3" t="s">
        <v>295</v>
      </c>
      <c r="C146" s="6">
        <v>6436</v>
      </c>
      <c r="D146">
        <v>2607168</v>
      </c>
      <c r="E146" s="6">
        <v>250</v>
      </c>
      <c r="F146" s="6">
        <v>268</v>
      </c>
      <c r="G146" s="6">
        <v>157</v>
      </c>
      <c r="H146" s="7">
        <v>11</v>
      </c>
      <c r="I146" s="7">
        <v>18</v>
      </c>
      <c r="J146" s="7">
        <f t="shared" si="4"/>
        <v>2614308</v>
      </c>
      <c r="K146" s="5">
        <v>315246353.64999998</v>
      </c>
      <c r="L146" s="9">
        <v>182707</v>
      </c>
      <c r="N146" s="4" t="s">
        <v>563</v>
      </c>
      <c r="O146">
        <f t="shared" si="5"/>
        <v>2607168</v>
      </c>
    </row>
    <row r="147" spans="1:15" x14ac:dyDescent="0.25">
      <c r="A147" s="3">
        <v>4110052</v>
      </c>
      <c r="B147" s="3" t="s">
        <v>161</v>
      </c>
      <c r="C147" s="6">
        <v>8398</v>
      </c>
      <c r="D147">
        <v>503000</v>
      </c>
      <c r="E147" s="6">
        <v>379</v>
      </c>
      <c r="F147" s="6">
        <v>369</v>
      </c>
      <c r="G147" s="6">
        <v>132</v>
      </c>
      <c r="H147" s="7">
        <v>0</v>
      </c>
      <c r="I147" s="7">
        <v>11</v>
      </c>
      <c r="J147" s="7">
        <f t="shared" si="4"/>
        <v>512289</v>
      </c>
      <c r="K147" s="5">
        <v>143006712.96000001</v>
      </c>
      <c r="L147" s="9">
        <v>91551</v>
      </c>
      <c r="N147" s="4" t="s">
        <v>477</v>
      </c>
      <c r="O147">
        <f t="shared" si="5"/>
        <v>503000</v>
      </c>
    </row>
    <row r="148" spans="1:15" x14ac:dyDescent="0.25">
      <c r="A148" s="3">
        <v>4110078</v>
      </c>
      <c r="B148" s="3" t="s">
        <v>364</v>
      </c>
      <c r="C148" s="6">
        <v>3024</v>
      </c>
      <c r="D148">
        <v>100203</v>
      </c>
      <c r="E148" s="6">
        <v>500</v>
      </c>
      <c r="F148" s="6">
        <v>269</v>
      </c>
      <c r="G148" s="6">
        <v>286</v>
      </c>
      <c r="H148" s="7">
        <v>10</v>
      </c>
      <c r="I148" s="7">
        <v>22</v>
      </c>
      <c r="J148" s="7">
        <f t="shared" si="4"/>
        <v>104314</v>
      </c>
      <c r="K148" s="5">
        <v>124508269.78</v>
      </c>
      <c r="L148" s="9">
        <v>228043</v>
      </c>
      <c r="N148" s="4" t="s">
        <v>564</v>
      </c>
      <c r="O148">
        <f t="shared" si="5"/>
        <v>100203</v>
      </c>
    </row>
    <row r="149" spans="1:15" x14ac:dyDescent="0.25">
      <c r="A149" s="3">
        <v>4110102</v>
      </c>
      <c r="B149" s="3" t="s">
        <v>52</v>
      </c>
      <c r="C149" s="6">
        <v>10257</v>
      </c>
      <c r="D149">
        <v>685096</v>
      </c>
      <c r="E149" s="6">
        <v>1824</v>
      </c>
      <c r="F149" s="6">
        <v>6112</v>
      </c>
      <c r="G149" s="6">
        <v>1193</v>
      </c>
      <c r="H149" s="7">
        <v>99</v>
      </c>
      <c r="I149" s="7">
        <v>61</v>
      </c>
      <c r="J149" s="7">
        <f t="shared" si="4"/>
        <v>704642</v>
      </c>
      <c r="K149" s="5">
        <v>757403080.51999998</v>
      </c>
      <c r="L149" s="9">
        <v>1047018</v>
      </c>
      <c r="N149" s="4" t="s">
        <v>565</v>
      </c>
      <c r="O149">
        <f t="shared" si="5"/>
        <v>685096</v>
      </c>
    </row>
    <row r="150" spans="1:15" x14ac:dyDescent="0.25">
      <c r="A150" s="3">
        <v>4110201</v>
      </c>
      <c r="B150" s="3" t="s">
        <v>243</v>
      </c>
      <c r="C150" s="6">
        <v>7270</v>
      </c>
      <c r="D150">
        <v>27500</v>
      </c>
      <c r="E150" s="6">
        <v>1639</v>
      </c>
      <c r="F150" s="6">
        <v>1149</v>
      </c>
      <c r="G150" s="6">
        <v>716</v>
      </c>
      <c r="H150" s="7">
        <v>55</v>
      </c>
      <c r="I150" s="7">
        <v>30</v>
      </c>
      <c r="J150" s="7">
        <f t="shared" si="4"/>
        <v>38359</v>
      </c>
      <c r="K150" s="5">
        <v>480995961.74000001</v>
      </c>
      <c r="L150" s="9">
        <v>235234</v>
      </c>
      <c r="N150" s="4" t="s">
        <v>418</v>
      </c>
      <c r="O150">
        <f t="shared" si="5"/>
        <v>27500</v>
      </c>
    </row>
    <row r="151" spans="1:15" x14ac:dyDescent="0.25">
      <c r="A151" s="3">
        <v>4110300</v>
      </c>
      <c r="B151" s="3" t="s">
        <v>333</v>
      </c>
      <c r="C151" s="6">
        <v>7719</v>
      </c>
      <c r="D151">
        <v>2250</v>
      </c>
      <c r="E151" s="6">
        <v>77</v>
      </c>
      <c r="F151" s="6">
        <v>11</v>
      </c>
      <c r="G151" s="6">
        <v>100</v>
      </c>
      <c r="H151" s="7">
        <v>0</v>
      </c>
      <c r="I151" s="7">
        <v>10</v>
      </c>
      <c r="J151" s="7">
        <f t="shared" si="4"/>
        <v>10167</v>
      </c>
      <c r="K151" s="5">
        <v>76946003.370000005</v>
      </c>
      <c r="L151" s="9">
        <v>51769</v>
      </c>
      <c r="N151" s="4" t="s">
        <v>566</v>
      </c>
      <c r="O151">
        <f t="shared" si="5"/>
        <v>2250</v>
      </c>
    </row>
    <row r="152" spans="1:15" x14ac:dyDescent="0.25">
      <c r="A152" s="3">
        <v>4110409</v>
      </c>
      <c r="B152" s="3" t="s">
        <v>177</v>
      </c>
      <c r="C152" s="6">
        <v>9519</v>
      </c>
      <c r="D152">
        <v>1720000</v>
      </c>
      <c r="E152" s="6">
        <v>150</v>
      </c>
      <c r="F152" s="6">
        <v>557</v>
      </c>
      <c r="G152" s="6">
        <v>199</v>
      </c>
      <c r="H152" s="7">
        <v>6</v>
      </c>
      <c r="I152" s="7">
        <v>19</v>
      </c>
      <c r="J152" s="7">
        <f t="shared" si="4"/>
        <v>1730450</v>
      </c>
      <c r="K152" s="5">
        <v>220254341.71000001</v>
      </c>
      <c r="L152" s="9">
        <v>467045</v>
      </c>
      <c r="N152" s="4" t="s">
        <v>567</v>
      </c>
      <c r="O152">
        <f t="shared" si="5"/>
        <v>1720000</v>
      </c>
    </row>
    <row r="153" spans="1:15" x14ac:dyDescent="0.25">
      <c r="A153" s="3">
        <v>4110508</v>
      </c>
      <c r="B153" s="3" t="s">
        <v>363</v>
      </c>
      <c r="C153" s="6">
        <v>8834</v>
      </c>
      <c r="D153">
        <v>795521</v>
      </c>
      <c r="E153" s="6">
        <v>2652</v>
      </c>
      <c r="F153" s="6">
        <v>39571</v>
      </c>
      <c r="G153" s="6">
        <v>664</v>
      </c>
      <c r="H153" s="7">
        <v>143</v>
      </c>
      <c r="I153" s="7">
        <v>40</v>
      </c>
      <c r="J153" s="7">
        <f t="shared" si="4"/>
        <v>847425</v>
      </c>
      <c r="K153" s="5">
        <v>767256905.95000005</v>
      </c>
      <c r="L153" s="9">
        <v>569218</v>
      </c>
      <c r="N153" s="4" t="s">
        <v>568</v>
      </c>
      <c r="O153">
        <f t="shared" si="5"/>
        <v>795521</v>
      </c>
    </row>
    <row r="154" spans="1:15" x14ac:dyDescent="0.25">
      <c r="A154" s="3">
        <v>4110607</v>
      </c>
      <c r="B154" s="3" t="s">
        <v>119</v>
      </c>
      <c r="C154" s="6">
        <v>44016</v>
      </c>
      <c r="D154">
        <v>3715000</v>
      </c>
      <c r="E154" s="6">
        <v>1174</v>
      </c>
      <c r="F154" s="6">
        <v>12245</v>
      </c>
      <c r="G154" s="6">
        <v>613</v>
      </c>
      <c r="H154" s="7">
        <v>51</v>
      </c>
      <c r="I154" s="7">
        <v>41</v>
      </c>
      <c r="J154" s="7">
        <f t="shared" si="4"/>
        <v>3773140</v>
      </c>
      <c r="K154" s="5">
        <v>918668786.11000001</v>
      </c>
      <c r="L154" s="9">
        <v>442964</v>
      </c>
      <c r="N154" s="4" t="s">
        <v>569</v>
      </c>
      <c r="O154">
        <f t="shared" si="5"/>
        <v>3715000</v>
      </c>
    </row>
    <row r="155" spans="1:15" x14ac:dyDescent="0.25">
      <c r="A155" s="3">
        <v>4110656</v>
      </c>
      <c r="B155" s="3" t="s">
        <v>367</v>
      </c>
      <c r="C155" s="6">
        <v>1102</v>
      </c>
      <c r="D155">
        <v>462793</v>
      </c>
      <c r="E155" s="6">
        <v>8</v>
      </c>
      <c r="F155" s="6">
        <v>3864</v>
      </c>
      <c r="G155" s="6">
        <v>6</v>
      </c>
      <c r="H155" s="7">
        <v>0</v>
      </c>
      <c r="I155" s="7">
        <v>0</v>
      </c>
      <c r="J155" s="7">
        <f t="shared" si="4"/>
        <v>467773</v>
      </c>
      <c r="K155" s="5">
        <v>170849731.91</v>
      </c>
      <c r="L155" s="9">
        <v>90311</v>
      </c>
      <c r="N155" s="4" t="s">
        <v>570</v>
      </c>
      <c r="O155">
        <f t="shared" si="5"/>
        <v>462793</v>
      </c>
    </row>
    <row r="156" spans="1:15" x14ac:dyDescent="0.25">
      <c r="A156" s="3">
        <v>4110706</v>
      </c>
      <c r="B156" s="3" t="s">
        <v>53</v>
      </c>
      <c r="C156" s="6">
        <v>10728</v>
      </c>
      <c r="D156">
        <v>131520</v>
      </c>
      <c r="E156" s="6">
        <v>2760</v>
      </c>
      <c r="F156" s="6">
        <v>29011</v>
      </c>
      <c r="G156" s="6">
        <v>1635</v>
      </c>
      <c r="H156" s="7">
        <v>338</v>
      </c>
      <c r="I156" s="7">
        <v>155</v>
      </c>
      <c r="J156" s="7">
        <f t="shared" si="4"/>
        <v>176147</v>
      </c>
      <c r="K156" s="5">
        <v>984275570.52999997</v>
      </c>
      <c r="L156" s="9">
        <v>2049178</v>
      </c>
      <c r="N156" s="4" t="s">
        <v>571</v>
      </c>
      <c r="O156">
        <f t="shared" si="5"/>
        <v>131520</v>
      </c>
    </row>
    <row r="157" spans="1:15" x14ac:dyDescent="0.25">
      <c r="A157" s="3">
        <v>4110805</v>
      </c>
      <c r="B157" s="3" t="s">
        <v>7</v>
      </c>
      <c r="C157" s="6">
        <v>43431</v>
      </c>
      <c r="D157">
        <v>1465200</v>
      </c>
      <c r="E157" s="6">
        <v>898</v>
      </c>
      <c r="F157" s="6">
        <v>2402</v>
      </c>
      <c r="G157" s="6">
        <v>1080</v>
      </c>
      <c r="H157" s="7">
        <v>137</v>
      </c>
      <c r="I157" s="7">
        <v>158</v>
      </c>
      <c r="J157" s="7">
        <f t="shared" si="4"/>
        <v>1513306</v>
      </c>
      <c r="K157" s="5">
        <v>315775641.75999999</v>
      </c>
      <c r="L157" s="9">
        <v>303534</v>
      </c>
      <c r="N157" s="4" t="s">
        <v>572</v>
      </c>
      <c r="O157">
        <f t="shared" si="5"/>
        <v>1465200</v>
      </c>
    </row>
    <row r="158" spans="1:15" x14ac:dyDescent="0.25">
      <c r="A158" s="3">
        <v>4110904</v>
      </c>
      <c r="B158" s="3" t="s">
        <v>299</v>
      </c>
      <c r="C158" s="6">
        <v>10872</v>
      </c>
      <c r="D158">
        <v>805000</v>
      </c>
      <c r="E158" s="6">
        <v>456</v>
      </c>
      <c r="F158" s="6">
        <v>135</v>
      </c>
      <c r="G158" s="6">
        <v>299</v>
      </c>
      <c r="H158" s="7">
        <v>43</v>
      </c>
      <c r="I158" s="7">
        <v>15</v>
      </c>
      <c r="J158" s="7">
        <f t="shared" si="4"/>
        <v>816820</v>
      </c>
      <c r="K158" s="5">
        <v>183828366.69999999</v>
      </c>
      <c r="L158" s="9">
        <v>113350</v>
      </c>
      <c r="N158" s="4" t="s">
        <v>573</v>
      </c>
      <c r="O158">
        <f t="shared" si="5"/>
        <v>805000</v>
      </c>
    </row>
    <row r="159" spans="1:15" x14ac:dyDescent="0.25">
      <c r="A159" s="3">
        <v>4110953</v>
      </c>
      <c r="B159" s="3" t="s">
        <v>170</v>
      </c>
      <c r="C159" s="6">
        <v>5697</v>
      </c>
      <c r="D159">
        <v>1549646</v>
      </c>
      <c r="E159" s="6">
        <v>1222</v>
      </c>
      <c r="F159" s="6">
        <v>194291</v>
      </c>
      <c r="G159" s="6">
        <v>100</v>
      </c>
      <c r="H159" s="7">
        <v>142</v>
      </c>
      <c r="I159" s="7">
        <v>3</v>
      </c>
      <c r="J159" s="7">
        <f t="shared" si="4"/>
        <v>1751101</v>
      </c>
      <c r="K159" s="5">
        <v>1067544721.09</v>
      </c>
      <c r="L159" s="9">
        <v>453580</v>
      </c>
      <c r="N159" s="4" t="s">
        <v>574</v>
      </c>
      <c r="O159">
        <f t="shared" si="5"/>
        <v>1549646</v>
      </c>
    </row>
    <row r="160" spans="1:15" x14ac:dyDescent="0.25">
      <c r="A160" s="3">
        <v>4111001</v>
      </c>
      <c r="B160" s="3" t="s">
        <v>186</v>
      </c>
      <c r="C160" s="6">
        <v>1618</v>
      </c>
      <c r="D160">
        <v>98526</v>
      </c>
      <c r="E160" s="6">
        <v>105</v>
      </c>
      <c r="F160" s="6">
        <v>163</v>
      </c>
      <c r="G160" s="6">
        <v>83</v>
      </c>
      <c r="H160" s="7">
        <v>0</v>
      </c>
      <c r="I160" s="7">
        <v>2</v>
      </c>
      <c r="J160" s="7">
        <f t="shared" si="4"/>
        <v>100497</v>
      </c>
      <c r="K160" s="5">
        <v>167697036.22999999</v>
      </c>
      <c r="L160" s="9">
        <v>203942</v>
      </c>
      <c r="N160" s="4" t="s">
        <v>575</v>
      </c>
      <c r="O160">
        <f t="shared" si="5"/>
        <v>98526</v>
      </c>
    </row>
    <row r="161" spans="1:15" x14ac:dyDescent="0.25">
      <c r="A161" s="3">
        <v>4111100</v>
      </c>
      <c r="B161" s="3" t="s">
        <v>309</v>
      </c>
      <c r="C161" s="6">
        <v>2100</v>
      </c>
      <c r="D161">
        <v>288813</v>
      </c>
      <c r="E161" s="6">
        <v>223</v>
      </c>
      <c r="F161" s="6">
        <v>685</v>
      </c>
      <c r="G161" s="6">
        <v>53</v>
      </c>
      <c r="H161" s="7">
        <v>11</v>
      </c>
      <c r="I161" s="7">
        <v>0</v>
      </c>
      <c r="J161" s="7">
        <f t="shared" si="4"/>
        <v>291885</v>
      </c>
      <c r="K161" s="5">
        <v>198096866.72999999</v>
      </c>
      <c r="L161" s="9">
        <v>244809</v>
      </c>
      <c r="N161" s="4" t="s">
        <v>576</v>
      </c>
      <c r="O161">
        <f t="shared" si="5"/>
        <v>288813</v>
      </c>
    </row>
    <row r="162" spans="1:15" x14ac:dyDescent="0.25">
      <c r="A162" s="3">
        <v>4111209</v>
      </c>
      <c r="B162" s="3" t="s">
        <v>350</v>
      </c>
      <c r="C162" s="6">
        <v>7672</v>
      </c>
      <c r="D162">
        <v>4667920</v>
      </c>
      <c r="E162" s="6">
        <v>1050</v>
      </c>
      <c r="F162" s="6">
        <v>15344</v>
      </c>
      <c r="G162" s="6">
        <v>200</v>
      </c>
      <c r="H162" s="7">
        <v>217</v>
      </c>
      <c r="I162" s="7">
        <v>4</v>
      </c>
      <c r="J162" s="7">
        <f t="shared" si="4"/>
        <v>4692407</v>
      </c>
      <c r="K162" s="5">
        <v>565250726.66999996</v>
      </c>
      <c r="L162" s="9">
        <v>699884</v>
      </c>
      <c r="N162" s="4" t="s">
        <v>577</v>
      </c>
      <c r="O162">
        <f t="shared" si="5"/>
        <v>4667920</v>
      </c>
    </row>
    <row r="163" spans="1:15" x14ac:dyDescent="0.25">
      <c r="A163" s="3">
        <v>4111258</v>
      </c>
      <c r="B163" s="3" t="s">
        <v>211</v>
      </c>
      <c r="C163" s="6">
        <v>3898</v>
      </c>
      <c r="D163">
        <v>21000</v>
      </c>
      <c r="E163" s="6">
        <v>193</v>
      </c>
      <c r="F163" s="6">
        <v>229</v>
      </c>
      <c r="G163" s="6">
        <v>192</v>
      </c>
      <c r="H163" s="7">
        <v>20</v>
      </c>
      <c r="I163" s="7">
        <v>15</v>
      </c>
      <c r="J163" s="7">
        <f t="shared" si="4"/>
        <v>25547</v>
      </c>
      <c r="K163" s="5">
        <v>82751689.340000004</v>
      </c>
      <c r="L163" s="9">
        <v>577822</v>
      </c>
      <c r="N163" s="4" t="s">
        <v>411</v>
      </c>
      <c r="O163">
        <f t="shared" si="5"/>
        <v>21000</v>
      </c>
    </row>
    <row r="164" spans="1:15" x14ac:dyDescent="0.25">
      <c r="A164" s="3">
        <v>4111308</v>
      </c>
      <c r="B164" s="3" t="s">
        <v>326</v>
      </c>
      <c r="C164" s="6">
        <v>12699</v>
      </c>
      <c r="D164">
        <v>304920</v>
      </c>
      <c r="E164" s="6">
        <v>184</v>
      </c>
      <c r="F164" s="6">
        <v>142</v>
      </c>
      <c r="G164" s="6">
        <v>212</v>
      </c>
      <c r="H164" s="7">
        <v>7</v>
      </c>
      <c r="I164" s="7">
        <v>18</v>
      </c>
      <c r="J164" s="7">
        <f t="shared" si="4"/>
        <v>318182</v>
      </c>
      <c r="K164" s="5">
        <v>95673912.719999999</v>
      </c>
      <c r="L164" s="9">
        <v>84525</v>
      </c>
      <c r="N164" s="4" t="s">
        <v>578</v>
      </c>
      <c r="O164">
        <f t="shared" si="5"/>
        <v>304920</v>
      </c>
    </row>
    <row r="165" spans="1:15" x14ac:dyDescent="0.25">
      <c r="A165" s="3">
        <v>4111407</v>
      </c>
      <c r="B165" s="3" t="s">
        <v>242</v>
      </c>
      <c r="C165" s="6">
        <v>17937</v>
      </c>
      <c r="D165">
        <v>58695</v>
      </c>
      <c r="E165" s="6">
        <v>1153</v>
      </c>
      <c r="F165" s="6">
        <v>4228</v>
      </c>
      <c r="G165" s="6">
        <v>391</v>
      </c>
      <c r="H165" s="7">
        <v>248</v>
      </c>
      <c r="I165" s="7">
        <v>30</v>
      </c>
      <c r="J165" s="7">
        <f t="shared" si="4"/>
        <v>82682</v>
      </c>
      <c r="K165" s="5">
        <v>398215880.75999999</v>
      </c>
      <c r="L165" s="9">
        <v>468753</v>
      </c>
      <c r="N165" s="4" t="s">
        <v>579</v>
      </c>
      <c r="O165">
        <f t="shared" si="5"/>
        <v>58695</v>
      </c>
    </row>
    <row r="166" spans="1:15" x14ac:dyDescent="0.25">
      <c r="A166" s="3">
        <v>4111506</v>
      </c>
      <c r="B166" s="3" t="s">
        <v>57</v>
      </c>
      <c r="C166" s="6">
        <v>18527</v>
      </c>
      <c r="D166">
        <v>256720</v>
      </c>
      <c r="E166" s="6">
        <v>1003</v>
      </c>
      <c r="F166" s="6">
        <v>1565</v>
      </c>
      <c r="G166" s="6">
        <v>423</v>
      </c>
      <c r="H166" s="7">
        <v>104</v>
      </c>
      <c r="I166" s="7">
        <v>52</v>
      </c>
      <c r="J166" s="7">
        <f t="shared" si="4"/>
        <v>278394</v>
      </c>
      <c r="K166" s="5">
        <v>310771923.23000002</v>
      </c>
      <c r="L166" s="9">
        <v>864421</v>
      </c>
      <c r="N166" s="4" t="s">
        <v>580</v>
      </c>
      <c r="O166">
        <f t="shared" si="5"/>
        <v>256720</v>
      </c>
    </row>
    <row r="167" spans="1:15" x14ac:dyDescent="0.25">
      <c r="A167" s="3">
        <v>4111555</v>
      </c>
      <c r="B167" s="3" t="s">
        <v>384</v>
      </c>
      <c r="C167" s="6">
        <v>27183</v>
      </c>
      <c r="D167">
        <v>59000</v>
      </c>
      <c r="E167" s="6">
        <v>126</v>
      </c>
      <c r="F167" s="6">
        <v>46</v>
      </c>
      <c r="G167" s="6">
        <v>323</v>
      </c>
      <c r="H167" s="7">
        <v>7</v>
      </c>
      <c r="I167" s="7">
        <v>92</v>
      </c>
      <c r="J167" s="7">
        <f t="shared" si="4"/>
        <v>86777</v>
      </c>
      <c r="K167" s="5">
        <v>181283403.49000001</v>
      </c>
      <c r="L167" s="9">
        <v>202592</v>
      </c>
      <c r="N167" s="4" t="s">
        <v>581</v>
      </c>
      <c r="O167">
        <f t="shared" si="5"/>
        <v>59000</v>
      </c>
    </row>
    <row r="168" spans="1:15" x14ac:dyDescent="0.25">
      <c r="A168" s="3">
        <v>4111605</v>
      </c>
      <c r="B168" s="3" t="s">
        <v>310</v>
      </c>
      <c r="C168" s="6">
        <v>99</v>
      </c>
      <c r="D168">
        <v>91260</v>
      </c>
      <c r="E168" s="6">
        <v>133</v>
      </c>
      <c r="F168" s="6">
        <v>287</v>
      </c>
      <c r="G168" s="6">
        <v>19</v>
      </c>
      <c r="H168" s="7">
        <v>1</v>
      </c>
      <c r="I168" s="7">
        <v>0</v>
      </c>
      <c r="J168" s="7">
        <f t="shared" si="4"/>
        <v>91799</v>
      </c>
      <c r="K168" s="5">
        <v>101352125.48</v>
      </c>
      <c r="L168" s="9">
        <v>140309</v>
      </c>
      <c r="N168" s="4" t="s">
        <v>582</v>
      </c>
      <c r="O168">
        <f t="shared" si="5"/>
        <v>91260</v>
      </c>
    </row>
    <row r="169" spans="1:15" x14ac:dyDescent="0.25">
      <c r="A169" s="3">
        <v>4111704</v>
      </c>
      <c r="B169" s="3" t="s">
        <v>261</v>
      </c>
      <c r="C169" s="6">
        <v>14784</v>
      </c>
      <c r="D169">
        <v>420000</v>
      </c>
      <c r="E169" s="6">
        <v>71</v>
      </c>
      <c r="F169" s="6">
        <v>10234</v>
      </c>
      <c r="G169" s="6">
        <v>234</v>
      </c>
      <c r="H169" s="7">
        <v>14</v>
      </c>
      <c r="I169" s="7">
        <v>20</v>
      </c>
      <c r="J169" s="7">
        <f t="shared" si="4"/>
        <v>445357</v>
      </c>
      <c r="K169" s="5">
        <v>270834693.31</v>
      </c>
      <c r="L169" s="9">
        <v>124235</v>
      </c>
      <c r="N169" s="4" t="s">
        <v>583</v>
      </c>
      <c r="O169">
        <f t="shared" si="5"/>
        <v>420000</v>
      </c>
    </row>
    <row r="170" spans="1:15" x14ac:dyDescent="0.25">
      <c r="A170" s="3">
        <v>4111803</v>
      </c>
      <c r="B170" s="3" t="s">
        <v>60</v>
      </c>
      <c r="C170" s="6">
        <v>38161</v>
      </c>
      <c r="D170">
        <v>2250000</v>
      </c>
      <c r="E170" s="6">
        <v>583</v>
      </c>
      <c r="F170" s="6">
        <v>576</v>
      </c>
      <c r="G170" s="6">
        <v>1249</v>
      </c>
      <c r="H170" s="7">
        <v>17</v>
      </c>
      <c r="I170" s="7">
        <v>46</v>
      </c>
      <c r="J170" s="7">
        <f t="shared" si="4"/>
        <v>2290632</v>
      </c>
      <c r="K170" s="5">
        <v>814247049.45000005</v>
      </c>
      <c r="L170" s="9">
        <v>1430894</v>
      </c>
      <c r="N170" s="4" t="s">
        <v>584</v>
      </c>
      <c r="O170">
        <f t="shared" si="5"/>
        <v>2250000</v>
      </c>
    </row>
    <row r="171" spans="1:15" x14ac:dyDescent="0.25">
      <c r="A171" s="3">
        <v>4111902</v>
      </c>
      <c r="B171" s="3" t="s">
        <v>291</v>
      </c>
      <c r="C171" s="6">
        <v>26976</v>
      </c>
      <c r="D171">
        <v>4580500</v>
      </c>
      <c r="E171" s="6">
        <v>758</v>
      </c>
      <c r="F171" s="6">
        <v>507</v>
      </c>
      <c r="G171" s="6">
        <v>634</v>
      </c>
      <c r="H171" s="7">
        <v>33</v>
      </c>
      <c r="I171" s="7">
        <v>93</v>
      </c>
      <c r="J171" s="7">
        <f t="shared" si="4"/>
        <v>4609501</v>
      </c>
      <c r="K171" s="5">
        <v>627996621.33000004</v>
      </c>
      <c r="L171" s="9">
        <v>927488</v>
      </c>
      <c r="N171" s="4" t="s">
        <v>585</v>
      </c>
      <c r="O171">
        <f t="shared" si="5"/>
        <v>4580500</v>
      </c>
    </row>
    <row r="172" spans="1:15" x14ac:dyDescent="0.25">
      <c r="A172" s="3">
        <v>4112009</v>
      </c>
      <c r="B172" s="3" t="s">
        <v>359</v>
      </c>
      <c r="C172" s="6">
        <v>27512</v>
      </c>
      <c r="D172">
        <v>253018</v>
      </c>
      <c r="E172" s="6">
        <v>2553</v>
      </c>
      <c r="F172" s="6">
        <v>63087</v>
      </c>
      <c r="G172" s="6">
        <v>2221</v>
      </c>
      <c r="H172" s="7">
        <v>161</v>
      </c>
      <c r="I172" s="7">
        <v>63</v>
      </c>
      <c r="J172" s="7">
        <f t="shared" si="4"/>
        <v>348615</v>
      </c>
      <c r="K172" s="5">
        <v>795573579.5</v>
      </c>
      <c r="L172" s="9">
        <v>1415524</v>
      </c>
      <c r="N172" s="4" t="s">
        <v>586</v>
      </c>
      <c r="O172">
        <f t="shared" si="5"/>
        <v>253018</v>
      </c>
    </row>
    <row r="173" spans="1:15" x14ac:dyDescent="0.25">
      <c r="A173" s="3">
        <v>4112108</v>
      </c>
      <c r="B173" s="3" t="s">
        <v>2</v>
      </c>
      <c r="C173" s="6">
        <v>10310</v>
      </c>
      <c r="D173">
        <v>1919876</v>
      </c>
      <c r="E173" s="6">
        <v>589</v>
      </c>
      <c r="F173" s="6">
        <v>593</v>
      </c>
      <c r="G173" s="6">
        <v>293</v>
      </c>
      <c r="H173" s="7">
        <v>27</v>
      </c>
      <c r="I173" s="7">
        <v>30</v>
      </c>
      <c r="J173" s="7">
        <f t="shared" si="4"/>
        <v>1931718</v>
      </c>
      <c r="K173" s="5">
        <v>321685201.51999998</v>
      </c>
      <c r="L173" s="9">
        <v>767194</v>
      </c>
      <c r="N173" s="4" t="s">
        <v>587</v>
      </c>
      <c r="O173">
        <f t="shared" si="5"/>
        <v>1919876</v>
      </c>
    </row>
    <row r="174" spans="1:15" x14ac:dyDescent="0.25">
      <c r="A174" s="3">
        <v>4112207</v>
      </c>
      <c r="B174" s="3" t="s">
        <v>147</v>
      </c>
      <c r="C174" s="6">
        <v>18436</v>
      </c>
      <c r="D174">
        <v>368000</v>
      </c>
      <c r="E174" s="6">
        <v>399</v>
      </c>
      <c r="F174" s="6">
        <v>723</v>
      </c>
      <c r="G174" s="6">
        <v>260</v>
      </c>
      <c r="H174" s="7">
        <v>147</v>
      </c>
      <c r="I174" s="7">
        <v>22</v>
      </c>
      <c r="J174" s="7">
        <f t="shared" si="4"/>
        <v>387987</v>
      </c>
      <c r="K174" s="5">
        <v>340841512.51999998</v>
      </c>
      <c r="L174" s="9">
        <v>250313</v>
      </c>
      <c r="N174" s="4" t="s">
        <v>588</v>
      </c>
      <c r="O174">
        <f t="shared" si="5"/>
        <v>368000</v>
      </c>
    </row>
    <row r="175" spans="1:15" x14ac:dyDescent="0.25">
      <c r="A175" s="3">
        <v>4112306</v>
      </c>
      <c r="B175" s="3" t="s">
        <v>262</v>
      </c>
      <c r="C175" s="6">
        <v>14827</v>
      </c>
      <c r="D175">
        <v>2200000</v>
      </c>
      <c r="E175" s="6">
        <v>131</v>
      </c>
      <c r="F175" s="6">
        <v>65</v>
      </c>
      <c r="G175" s="6">
        <v>233</v>
      </c>
      <c r="H175" s="7">
        <v>0</v>
      </c>
      <c r="I175" s="7">
        <v>58</v>
      </c>
      <c r="J175" s="7">
        <f t="shared" si="4"/>
        <v>2215314</v>
      </c>
      <c r="K175" s="5">
        <v>319647204.38</v>
      </c>
      <c r="L175" s="9">
        <v>117131</v>
      </c>
      <c r="N175" s="4" t="s">
        <v>559</v>
      </c>
      <c r="O175">
        <f t="shared" si="5"/>
        <v>2200000</v>
      </c>
    </row>
    <row r="176" spans="1:15" x14ac:dyDescent="0.25">
      <c r="A176" s="3">
        <v>4112405</v>
      </c>
      <c r="B176" s="3" t="s">
        <v>172</v>
      </c>
      <c r="C176" s="6">
        <v>3497</v>
      </c>
      <c r="D176">
        <v>1170000</v>
      </c>
      <c r="E176" s="6">
        <v>97</v>
      </c>
      <c r="F176" s="6">
        <v>501</v>
      </c>
      <c r="G176" s="6">
        <v>63</v>
      </c>
      <c r="H176" s="7">
        <v>6</v>
      </c>
      <c r="I176" s="7">
        <v>3</v>
      </c>
      <c r="J176" s="7">
        <f t="shared" si="4"/>
        <v>1174167</v>
      </c>
      <c r="K176" s="5">
        <v>222297746.81</v>
      </c>
      <c r="L176" s="9">
        <v>312785</v>
      </c>
      <c r="N176" s="4" t="s">
        <v>589</v>
      </c>
      <c r="O176">
        <f t="shared" si="5"/>
        <v>1170000</v>
      </c>
    </row>
    <row r="177" spans="1:15" x14ac:dyDescent="0.25">
      <c r="A177" s="3">
        <v>4112504</v>
      </c>
      <c r="B177" s="3" t="s">
        <v>253</v>
      </c>
      <c r="C177" s="6">
        <v>23605</v>
      </c>
      <c r="D177">
        <v>753656</v>
      </c>
      <c r="E177" s="6">
        <v>920</v>
      </c>
      <c r="F177" s="6">
        <v>1973</v>
      </c>
      <c r="G177" s="6">
        <v>500</v>
      </c>
      <c r="H177" s="7">
        <v>36</v>
      </c>
      <c r="I177" s="7">
        <v>51</v>
      </c>
      <c r="J177" s="7">
        <f t="shared" si="4"/>
        <v>780741</v>
      </c>
      <c r="K177" s="5">
        <v>251301653.25999999</v>
      </c>
      <c r="L177" s="9">
        <v>323519</v>
      </c>
      <c r="N177" s="4" t="s">
        <v>590</v>
      </c>
      <c r="O177">
        <f t="shared" si="5"/>
        <v>753656</v>
      </c>
    </row>
    <row r="178" spans="1:15" x14ac:dyDescent="0.25">
      <c r="A178" s="3">
        <v>4112603</v>
      </c>
      <c r="B178" s="3" t="s">
        <v>334</v>
      </c>
      <c r="C178" s="6">
        <v>5905</v>
      </c>
      <c r="D178">
        <v>522000</v>
      </c>
      <c r="E178" s="6">
        <v>58</v>
      </c>
      <c r="F178" s="6">
        <v>84</v>
      </c>
      <c r="G178" s="6">
        <v>118</v>
      </c>
      <c r="H178" s="7">
        <v>0</v>
      </c>
      <c r="I178" s="7">
        <v>0</v>
      </c>
      <c r="J178" s="7">
        <f t="shared" si="4"/>
        <v>528165</v>
      </c>
      <c r="K178" s="5">
        <v>112976344.5</v>
      </c>
      <c r="L178" s="9">
        <v>46102</v>
      </c>
      <c r="N178" s="4" t="s">
        <v>591</v>
      </c>
      <c r="O178">
        <f t="shared" si="5"/>
        <v>522000</v>
      </c>
    </row>
    <row r="179" spans="1:15" x14ac:dyDescent="0.25">
      <c r="A179" s="3">
        <v>4112702</v>
      </c>
      <c r="B179" s="3" t="s">
        <v>180</v>
      </c>
      <c r="C179" s="6">
        <v>10038</v>
      </c>
      <c r="D179">
        <v>259218</v>
      </c>
      <c r="E179" s="6">
        <v>281</v>
      </c>
      <c r="F179" s="6">
        <v>107</v>
      </c>
      <c r="G179" s="6">
        <v>326</v>
      </c>
      <c r="H179" s="7">
        <v>20</v>
      </c>
      <c r="I179" s="7">
        <v>45</v>
      </c>
      <c r="J179" s="7">
        <f t="shared" si="4"/>
        <v>270035</v>
      </c>
      <c r="K179" s="5">
        <v>142644330.97</v>
      </c>
      <c r="L179" s="9">
        <v>247015</v>
      </c>
      <c r="N179" s="4" t="s">
        <v>592</v>
      </c>
      <c r="O179">
        <f t="shared" si="5"/>
        <v>259218</v>
      </c>
    </row>
    <row r="180" spans="1:15" x14ac:dyDescent="0.25">
      <c r="A180" s="3">
        <v>4112751</v>
      </c>
      <c r="B180" s="3" t="s">
        <v>368</v>
      </c>
      <c r="C180" s="6">
        <v>9658</v>
      </c>
      <c r="D180">
        <v>3377368</v>
      </c>
      <c r="E180" s="6">
        <v>417</v>
      </c>
      <c r="F180" s="6">
        <v>63163</v>
      </c>
      <c r="G180" s="6">
        <v>42</v>
      </c>
      <c r="H180" s="7">
        <v>5</v>
      </c>
      <c r="I180" s="7">
        <v>2</v>
      </c>
      <c r="J180" s="7">
        <f t="shared" si="4"/>
        <v>3450655</v>
      </c>
      <c r="K180" s="5">
        <v>744964975.50999999</v>
      </c>
      <c r="L180" s="9">
        <v>391705</v>
      </c>
      <c r="N180" s="4" t="s">
        <v>593</v>
      </c>
      <c r="O180">
        <f t="shared" si="5"/>
        <v>3377368</v>
      </c>
    </row>
    <row r="181" spans="1:15" x14ac:dyDescent="0.25">
      <c r="A181" s="3">
        <v>4112801</v>
      </c>
      <c r="B181" s="3" t="s">
        <v>61</v>
      </c>
      <c r="C181" s="6">
        <v>44347</v>
      </c>
      <c r="D181">
        <v>2800000</v>
      </c>
      <c r="E181" s="6">
        <v>672</v>
      </c>
      <c r="F181" s="6">
        <v>7654</v>
      </c>
      <c r="G181" s="6">
        <v>710</v>
      </c>
      <c r="H181" s="7">
        <v>40</v>
      </c>
      <c r="I181" s="7">
        <v>121</v>
      </c>
      <c r="J181" s="7">
        <f t="shared" si="4"/>
        <v>2853544</v>
      </c>
      <c r="K181" s="5">
        <v>421379245.94999999</v>
      </c>
      <c r="L181" s="9">
        <v>653655</v>
      </c>
      <c r="N181" s="4" t="s">
        <v>594</v>
      </c>
      <c r="O181">
        <f t="shared" si="5"/>
        <v>2800000</v>
      </c>
    </row>
    <row r="182" spans="1:15" x14ac:dyDescent="0.25">
      <c r="A182" s="3">
        <v>4112900</v>
      </c>
      <c r="B182" s="3" t="s">
        <v>271</v>
      </c>
      <c r="C182" s="6">
        <v>34406</v>
      </c>
      <c r="D182">
        <v>203000</v>
      </c>
      <c r="E182" s="6">
        <v>593</v>
      </c>
      <c r="F182" s="6">
        <v>258</v>
      </c>
      <c r="G182" s="6">
        <v>582</v>
      </c>
      <c r="H182" s="7">
        <v>10</v>
      </c>
      <c r="I182" s="7">
        <v>37</v>
      </c>
      <c r="J182" s="7">
        <f t="shared" si="4"/>
        <v>238886</v>
      </c>
      <c r="K182" s="5">
        <v>155096450.71000001</v>
      </c>
      <c r="L182" s="9">
        <v>114510</v>
      </c>
      <c r="N182" s="4" t="s">
        <v>595</v>
      </c>
      <c r="O182">
        <f t="shared" si="5"/>
        <v>203000</v>
      </c>
    </row>
    <row r="183" spans="1:15" x14ac:dyDescent="0.25">
      <c r="A183" s="3">
        <v>4112959</v>
      </c>
      <c r="B183" s="3" t="s">
        <v>153</v>
      </c>
      <c r="C183" s="6">
        <v>2695</v>
      </c>
      <c r="D183">
        <v>439412</v>
      </c>
      <c r="E183" s="6">
        <v>125</v>
      </c>
      <c r="F183" s="6">
        <v>541</v>
      </c>
      <c r="G183" s="6">
        <v>102</v>
      </c>
      <c r="H183" s="7">
        <v>14</v>
      </c>
      <c r="I183" s="7">
        <v>3</v>
      </c>
      <c r="J183" s="7">
        <f t="shared" si="4"/>
        <v>442892</v>
      </c>
      <c r="K183" s="5">
        <v>397307299.07999998</v>
      </c>
      <c r="L183" s="9">
        <v>400971</v>
      </c>
      <c r="N183" s="4" t="s">
        <v>596</v>
      </c>
      <c r="O183">
        <f t="shared" si="5"/>
        <v>439412</v>
      </c>
    </row>
    <row r="184" spans="1:15" x14ac:dyDescent="0.25">
      <c r="A184" s="3">
        <v>4113007</v>
      </c>
      <c r="B184" s="3" t="s">
        <v>173</v>
      </c>
      <c r="C184" s="6">
        <v>1482</v>
      </c>
      <c r="D184">
        <v>1200000</v>
      </c>
      <c r="E184" s="6">
        <v>59</v>
      </c>
      <c r="F184" s="6">
        <v>179</v>
      </c>
      <c r="G184" s="6">
        <v>34</v>
      </c>
      <c r="H184" s="7">
        <v>12</v>
      </c>
      <c r="I184" s="7">
        <v>5</v>
      </c>
      <c r="J184" s="7">
        <f t="shared" si="4"/>
        <v>1201771</v>
      </c>
      <c r="K184" s="5">
        <v>282714357.63</v>
      </c>
      <c r="L184" s="9">
        <v>371246</v>
      </c>
      <c r="N184" s="4" t="s">
        <v>597</v>
      </c>
      <c r="O184">
        <f t="shared" si="5"/>
        <v>1200000</v>
      </c>
    </row>
    <row r="185" spans="1:15" x14ac:dyDescent="0.25">
      <c r="A185" s="3">
        <v>4113106</v>
      </c>
      <c r="B185" s="3" t="s">
        <v>134</v>
      </c>
      <c r="C185" s="6">
        <v>7194</v>
      </c>
      <c r="D185">
        <v>212045</v>
      </c>
      <c r="E185" s="6">
        <v>139</v>
      </c>
      <c r="F185" s="6">
        <v>205</v>
      </c>
      <c r="G185" s="6">
        <v>60</v>
      </c>
      <c r="H185" s="7">
        <v>31</v>
      </c>
      <c r="I185" s="7">
        <v>12</v>
      </c>
      <c r="J185" s="7">
        <f t="shared" si="4"/>
        <v>219686</v>
      </c>
      <c r="K185" s="5">
        <v>160458377.28</v>
      </c>
      <c r="L185" s="9">
        <v>145838</v>
      </c>
      <c r="N185" s="4" t="s">
        <v>598</v>
      </c>
      <c r="O185">
        <f t="shared" si="5"/>
        <v>212045</v>
      </c>
    </row>
    <row r="186" spans="1:15" x14ac:dyDescent="0.25">
      <c r="A186" s="3">
        <v>4113205</v>
      </c>
      <c r="B186" s="3" t="s">
        <v>34</v>
      </c>
      <c r="C186" s="6">
        <v>33010</v>
      </c>
      <c r="D186">
        <v>1550000</v>
      </c>
      <c r="E186" s="6">
        <v>5734</v>
      </c>
      <c r="F186" s="6">
        <v>11644</v>
      </c>
      <c r="G186" s="6">
        <v>2793</v>
      </c>
      <c r="H186" s="7">
        <v>290</v>
      </c>
      <c r="I186" s="7">
        <v>31</v>
      </c>
      <c r="J186" s="7">
        <f t="shared" si="4"/>
        <v>1603502</v>
      </c>
      <c r="K186" s="5">
        <v>1411109903.9200001</v>
      </c>
      <c r="L186" s="9">
        <v>2026334</v>
      </c>
      <c r="N186" s="4" t="s">
        <v>599</v>
      </c>
      <c r="O186">
        <f t="shared" si="5"/>
        <v>1550000</v>
      </c>
    </row>
    <row r="187" spans="1:15" x14ac:dyDescent="0.25">
      <c r="A187" s="3">
        <v>4113254</v>
      </c>
      <c r="B187" s="3" t="s">
        <v>353</v>
      </c>
      <c r="C187" s="6">
        <v>82153</v>
      </c>
      <c r="D187">
        <v>20800</v>
      </c>
      <c r="E187" s="6">
        <v>1550</v>
      </c>
      <c r="F187" s="6">
        <v>1819</v>
      </c>
      <c r="G187" s="6">
        <v>1361</v>
      </c>
      <c r="H187" s="7">
        <v>183</v>
      </c>
      <c r="I187" s="7">
        <v>214</v>
      </c>
      <c r="J187" s="7">
        <f t="shared" si="4"/>
        <v>108080</v>
      </c>
      <c r="K187" s="5">
        <v>216799816.84</v>
      </c>
      <c r="L187" s="9">
        <v>100926</v>
      </c>
      <c r="N187" s="4" t="s">
        <v>600</v>
      </c>
      <c r="O187">
        <f t="shared" si="5"/>
        <v>20800</v>
      </c>
    </row>
    <row r="188" spans="1:15" x14ac:dyDescent="0.25">
      <c r="A188" s="3">
        <v>4113304</v>
      </c>
      <c r="B188" s="3" t="s">
        <v>66</v>
      </c>
      <c r="C188" s="6">
        <v>50226</v>
      </c>
      <c r="D188">
        <v>172800</v>
      </c>
      <c r="E188" s="6">
        <v>2513</v>
      </c>
      <c r="F188" s="6">
        <v>13821</v>
      </c>
      <c r="G188" s="6">
        <v>926</v>
      </c>
      <c r="H188" s="7">
        <v>456</v>
      </c>
      <c r="I188" s="7">
        <v>95</v>
      </c>
      <c r="J188" s="7">
        <f t="shared" si="4"/>
        <v>240837</v>
      </c>
      <c r="K188" s="5">
        <v>588118123.41999996</v>
      </c>
      <c r="L188" s="9">
        <v>889677</v>
      </c>
      <c r="N188" s="4" t="s">
        <v>601</v>
      </c>
      <c r="O188">
        <f t="shared" si="5"/>
        <v>172800</v>
      </c>
    </row>
    <row r="189" spans="1:15" x14ac:dyDescent="0.25">
      <c r="A189" s="3">
        <v>4113403</v>
      </c>
      <c r="B189" s="3" t="s">
        <v>194</v>
      </c>
      <c r="C189" s="6">
        <v>16823</v>
      </c>
      <c r="D189">
        <v>442431</v>
      </c>
      <c r="E189" s="6">
        <v>380</v>
      </c>
      <c r="F189" s="6">
        <v>597</v>
      </c>
      <c r="G189" s="6">
        <v>502</v>
      </c>
      <c r="H189" s="7">
        <v>40</v>
      </c>
      <c r="I189" s="7">
        <v>67</v>
      </c>
      <c r="J189" s="7">
        <f t="shared" si="4"/>
        <v>460840</v>
      </c>
      <c r="K189" s="5">
        <v>213992852</v>
      </c>
      <c r="L189" s="9">
        <v>187827</v>
      </c>
      <c r="N189" s="4" t="s">
        <v>602</v>
      </c>
      <c r="O189">
        <f t="shared" si="5"/>
        <v>442431</v>
      </c>
    </row>
    <row r="190" spans="1:15" x14ac:dyDescent="0.25">
      <c r="A190" s="3">
        <v>4113429</v>
      </c>
      <c r="B190" s="3" t="s">
        <v>254</v>
      </c>
      <c r="C190" s="6">
        <v>7893</v>
      </c>
      <c r="D190">
        <v>148000</v>
      </c>
      <c r="E190" s="6">
        <v>348</v>
      </c>
      <c r="F190" s="6">
        <v>209</v>
      </c>
      <c r="G190" s="6">
        <v>150</v>
      </c>
      <c r="H190" s="7">
        <v>45</v>
      </c>
      <c r="I190" s="7">
        <v>22</v>
      </c>
      <c r="J190" s="7">
        <f t="shared" si="4"/>
        <v>156667</v>
      </c>
      <c r="K190" s="5">
        <v>128137426.56</v>
      </c>
      <c r="L190" s="9">
        <v>112475</v>
      </c>
      <c r="N190" s="4" t="s">
        <v>603</v>
      </c>
      <c r="O190">
        <f t="shared" si="5"/>
        <v>148000</v>
      </c>
    </row>
    <row r="191" spans="1:15" x14ac:dyDescent="0.25">
      <c r="A191" s="3">
        <v>4113452</v>
      </c>
      <c r="B191" s="3" t="s">
        <v>155</v>
      </c>
      <c r="C191" s="6">
        <v>29253</v>
      </c>
      <c r="D191">
        <v>1300100</v>
      </c>
      <c r="E191" s="6">
        <v>830</v>
      </c>
      <c r="F191" s="6">
        <v>1823</v>
      </c>
      <c r="G191" s="6">
        <v>659</v>
      </c>
      <c r="H191" s="7">
        <v>25</v>
      </c>
      <c r="I191" s="7">
        <v>39</v>
      </c>
      <c r="J191" s="7">
        <f t="shared" si="4"/>
        <v>1332729</v>
      </c>
      <c r="K191" s="5">
        <v>359027550.58999997</v>
      </c>
      <c r="L191" s="9">
        <v>186917</v>
      </c>
      <c r="N191" s="4" t="s">
        <v>604</v>
      </c>
      <c r="O191">
        <f t="shared" si="5"/>
        <v>1300100</v>
      </c>
    </row>
    <row r="192" spans="1:15" x14ac:dyDescent="0.25">
      <c r="A192" s="3">
        <v>4113502</v>
      </c>
      <c r="B192" s="3" t="s">
        <v>85</v>
      </c>
      <c r="C192" s="6">
        <v>83961</v>
      </c>
      <c r="D192">
        <v>454398</v>
      </c>
      <c r="E192" s="6">
        <v>850</v>
      </c>
      <c r="F192" s="6">
        <v>630</v>
      </c>
      <c r="G192" s="6">
        <v>1035</v>
      </c>
      <c r="H192" s="7">
        <v>24</v>
      </c>
      <c r="I192" s="7">
        <v>56</v>
      </c>
      <c r="J192" s="7">
        <f t="shared" si="4"/>
        <v>540954</v>
      </c>
      <c r="K192" s="5">
        <v>368117662.70999998</v>
      </c>
      <c r="L192" s="9">
        <v>657571</v>
      </c>
      <c r="N192" s="4" t="s">
        <v>605</v>
      </c>
      <c r="O192">
        <f t="shared" si="5"/>
        <v>454398</v>
      </c>
    </row>
    <row r="193" spans="1:15" x14ac:dyDescent="0.25">
      <c r="A193" s="3">
        <v>4113601</v>
      </c>
      <c r="B193" s="3" t="s">
        <v>300</v>
      </c>
      <c r="C193" s="6">
        <v>9660</v>
      </c>
      <c r="D193">
        <v>673000</v>
      </c>
      <c r="E193" s="6">
        <v>162</v>
      </c>
      <c r="F193" s="6">
        <v>249</v>
      </c>
      <c r="G193" s="6">
        <v>147</v>
      </c>
      <c r="H193" s="7">
        <v>11</v>
      </c>
      <c r="I193" s="7">
        <v>26</v>
      </c>
      <c r="J193" s="7">
        <f t="shared" si="4"/>
        <v>683255</v>
      </c>
      <c r="K193" s="5">
        <v>271361108.41000003</v>
      </c>
      <c r="L193" s="9">
        <v>226232</v>
      </c>
      <c r="N193" s="4" t="s">
        <v>606</v>
      </c>
      <c r="O193">
        <f t="shared" si="5"/>
        <v>673000</v>
      </c>
    </row>
    <row r="194" spans="1:15" x14ac:dyDescent="0.25">
      <c r="A194" s="3">
        <v>4113700</v>
      </c>
      <c r="B194" s="3" t="s">
        <v>71</v>
      </c>
      <c r="C194" s="6">
        <v>38394</v>
      </c>
      <c r="D194">
        <v>1031120</v>
      </c>
      <c r="E194" s="6">
        <v>2298</v>
      </c>
      <c r="F194" s="6">
        <v>1850</v>
      </c>
      <c r="G194" s="6">
        <v>1999</v>
      </c>
      <c r="H194" s="7">
        <v>264</v>
      </c>
      <c r="I194" s="7">
        <v>349</v>
      </c>
      <c r="J194" s="7">
        <f t="shared" si="4"/>
        <v>1076274</v>
      </c>
      <c r="K194" s="5">
        <v>1256206566.8900001</v>
      </c>
      <c r="L194" s="9">
        <v>21700396</v>
      </c>
      <c r="N194" s="4" t="s">
        <v>607</v>
      </c>
      <c r="O194">
        <f t="shared" si="5"/>
        <v>1031120</v>
      </c>
    </row>
    <row r="195" spans="1:15" x14ac:dyDescent="0.25">
      <c r="A195" s="3">
        <v>4113734</v>
      </c>
      <c r="B195" s="3" t="s">
        <v>141</v>
      </c>
      <c r="C195" s="6">
        <v>32190</v>
      </c>
      <c r="D195">
        <v>79107</v>
      </c>
      <c r="E195" s="6">
        <v>927</v>
      </c>
      <c r="F195" s="6">
        <v>1067</v>
      </c>
      <c r="G195" s="6">
        <v>463</v>
      </c>
      <c r="H195" s="7">
        <v>16</v>
      </c>
      <c r="I195" s="7">
        <v>86</v>
      </c>
      <c r="J195" s="7">
        <f t="shared" ref="J195:J258" si="6">SUM(C195+D195+E195+F195+G195+H195+I195)</f>
        <v>113856</v>
      </c>
      <c r="K195" s="5">
        <v>715259917.38999999</v>
      </c>
      <c r="L195" s="9">
        <v>499718</v>
      </c>
      <c r="N195" s="4" t="s">
        <v>608</v>
      </c>
      <c r="O195">
        <f t="shared" ref="O195:O258" si="7">N195*1</f>
        <v>79107</v>
      </c>
    </row>
    <row r="196" spans="1:15" x14ac:dyDescent="0.25">
      <c r="A196" s="3">
        <v>4113759</v>
      </c>
      <c r="B196" s="3" t="s">
        <v>256</v>
      </c>
      <c r="C196" s="6">
        <v>10133</v>
      </c>
      <c r="D196">
        <v>440900</v>
      </c>
      <c r="E196" s="6">
        <v>928</v>
      </c>
      <c r="F196" s="6">
        <v>510</v>
      </c>
      <c r="G196" s="6">
        <v>185</v>
      </c>
      <c r="H196" s="7">
        <v>64</v>
      </c>
      <c r="I196" s="7">
        <v>33</v>
      </c>
      <c r="J196" s="7">
        <f t="shared" si="6"/>
        <v>452753</v>
      </c>
      <c r="K196" s="5">
        <v>132654174.95999999</v>
      </c>
      <c r="L196" s="9">
        <v>117449</v>
      </c>
      <c r="N196" s="4" t="s">
        <v>609</v>
      </c>
      <c r="O196">
        <f t="shared" si="7"/>
        <v>440900</v>
      </c>
    </row>
    <row r="197" spans="1:15" x14ac:dyDescent="0.25">
      <c r="A197" s="3">
        <v>4113809</v>
      </c>
      <c r="B197" s="3" t="s">
        <v>285</v>
      </c>
      <c r="C197" s="6">
        <v>6253</v>
      </c>
      <c r="D197">
        <v>233000</v>
      </c>
      <c r="E197" s="6">
        <v>155</v>
      </c>
      <c r="F197" s="6">
        <v>225</v>
      </c>
      <c r="G197" s="6">
        <v>240</v>
      </c>
      <c r="H197" s="7">
        <v>34</v>
      </c>
      <c r="I197" s="7">
        <v>35</v>
      </c>
      <c r="J197" s="7">
        <f t="shared" si="6"/>
        <v>239942</v>
      </c>
      <c r="K197" s="5">
        <v>93121193.950000003</v>
      </c>
      <c r="L197" s="9">
        <v>126296</v>
      </c>
      <c r="N197" s="4" t="s">
        <v>610</v>
      </c>
      <c r="O197">
        <f t="shared" si="7"/>
        <v>233000</v>
      </c>
    </row>
    <row r="198" spans="1:15" x14ac:dyDescent="0.25">
      <c r="A198" s="3">
        <v>4113908</v>
      </c>
      <c r="B198" s="3" t="s">
        <v>244</v>
      </c>
      <c r="C198" s="6">
        <v>3896</v>
      </c>
      <c r="D198">
        <v>140765</v>
      </c>
      <c r="E198" s="6">
        <v>1181</v>
      </c>
      <c r="F198" s="6">
        <v>4575</v>
      </c>
      <c r="G198" s="6">
        <v>496</v>
      </c>
      <c r="H198" s="7">
        <v>39</v>
      </c>
      <c r="I198" s="7">
        <v>2</v>
      </c>
      <c r="J198" s="7">
        <f t="shared" si="6"/>
        <v>150954</v>
      </c>
      <c r="K198" s="5">
        <v>368304367.18000001</v>
      </c>
      <c r="L198" s="9">
        <v>694686</v>
      </c>
      <c r="N198" s="4" t="s">
        <v>611</v>
      </c>
      <c r="O198">
        <f t="shared" si="7"/>
        <v>140765</v>
      </c>
    </row>
    <row r="199" spans="1:15" x14ac:dyDescent="0.25">
      <c r="A199" s="3">
        <v>4114005</v>
      </c>
      <c r="B199" s="3" t="s">
        <v>8</v>
      </c>
      <c r="C199" s="6">
        <v>6729</v>
      </c>
      <c r="D199">
        <v>1148580</v>
      </c>
      <c r="E199" s="6">
        <v>1376</v>
      </c>
      <c r="F199" s="6">
        <v>10447</v>
      </c>
      <c r="G199" s="6">
        <v>321</v>
      </c>
      <c r="H199" s="7">
        <v>112</v>
      </c>
      <c r="I199" s="7">
        <v>18</v>
      </c>
      <c r="J199" s="7">
        <f t="shared" si="6"/>
        <v>1167583</v>
      </c>
      <c r="K199" s="5">
        <v>900696978.46000004</v>
      </c>
      <c r="L199" s="9">
        <v>787292</v>
      </c>
      <c r="N199" s="4" t="s">
        <v>612</v>
      </c>
      <c r="O199">
        <f t="shared" si="7"/>
        <v>1148580</v>
      </c>
    </row>
    <row r="200" spans="1:15" x14ac:dyDescent="0.25">
      <c r="A200" s="3">
        <v>4114104</v>
      </c>
      <c r="B200" s="3" t="s">
        <v>79</v>
      </c>
      <c r="C200" s="6">
        <v>8012</v>
      </c>
      <c r="D200">
        <v>4382152</v>
      </c>
      <c r="E200" s="6">
        <v>635</v>
      </c>
      <c r="F200" s="6">
        <v>1320</v>
      </c>
      <c r="G200" s="6">
        <v>354</v>
      </c>
      <c r="H200" s="7">
        <v>35</v>
      </c>
      <c r="I200" s="7">
        <v>22</v>
      </c>
      <c r="J200" s="7">
        <f t="shared" si="6"/>
        <v>4392530</v>
      </c>
      <c r="K200" s="5">
        <v>456683158.47000003</v>
      </c>
      <c r="L200" s="9">
        <v>617340</v>
      </c>
      <c r="N200" s="4" t="s">
        <v>613</v>
      </c>
      <c r="O200">
        <f t="shared" si="7"/>
        <v>4382152</v>
      </c>
    </row>
    <row r="201" spans="1:15" x14ac:dyDescent="0.25">
      <c r="A201" s="3">
        <v>4114203</v>
      </c>
      <c r="B201" s="3" t="s">
        <v>80</v>
      </c>
      <c r="C201" s="6">
        <v>25649</v>
      </c>
      <c r="D201">
        <v>3897803</v>
      </c>
      <c r="E201" s="6">
        <v>1008</v>
      </c>
      <c r="F201" s="6">
        <v>1187</v>
      </c>
      <c r="G201" s="6">
        <v>767</v>
      </c>
      <c r="H201" s="7">
        <v>104</v>
      </c>
      <c r="I201" s="7">
        <v>130</v>
      </c>
      <c r="J201" s="7">
        <f t="shared" si="6"/>
        <v>3926648</v>
      </c>
      <c r="K201" s="5">
        <v>571632582.51999998</v>
      </c>
      <c r="L201" s="9">
        <v>1688457</v>
      </c>
      <c r="N201" s="4" t="s">
        <v>614</v>
      </c>
      <c r="O201">
        <f t="shared" si="7"/>
        <v>3897803</v>
      </c>
    </row>
    <row r="202" spans="1:15" x14ac:dyDescent="0.25">
      <c r="A202" s="3">
        <v>4114302</v>
      </c>
      <c r="B202" s="3" t="s">
        <v>216</v>
      </c>
      <c r="C202" s="6">
        <v>2540</v>
      </c>
      <c r="D202">
        <v>1500000</v>
      </c>
      <c r="E202" s="6">
        <v>1068</v>
      </c>
      <c r="F202" s="6">
        <v>4712</v>
      </c>
      <c r="G202" s="6">
        <v>495</v>
      </c>
      <c r="H202" s="7">
        <v>58</v>
      </c>
      <c r="I202" s="7">
        <v>8</v>
      </c>
      <c r="J202" s="7">
        <f t="shared" si="6"/>
        <v>1508881</v>
      </c>
      <c r="K202" s="5">
        <v>242427200.63999999</v>
      </c>
      <c r="L202" s="9">
        <v>608027</v>
      </c>
      <c r="N202" s="4" t="s">
        <v>615</v>
      </c>
      <c r="O202">
        <f t="shared" si="7"/>
        <v>1500000</v>
      </c>
    </row>
    <row r="203" spans="1:15" x14ac:dyDescent="0.25">
      <c r="A203" s="3">
        <v>4114351</v>
      </c>
      <c r="B203" s="3" t="s">
        <v>233</v>
      </c>
      <c r="C203" s="6">
        <v>25085</v>
      </c>
      <c r="D203">
        <v>934912</v>
      </c>
      <c r="E203" s="6">
        <v>1355</v>
      </c>
      <c r="F203" s="6">
        <v>6177</v>
      </c>
      <c r="G203" s="6">
        <v>267</v>
      </c>
      <c r="H203" s="7">
        <v>285</v>
      </c>
      <c r="I203" s="7">
        <v>14</v>
      </c>
      <c r="J203" s="7">
        <f t="shared" si="6"/>
        <v>968095</v>
      </c>
      <c r="K203" s="5">
        <v>269547071.27999997</v>
      </c>
      <c r="L203" s="9">
        <v>72589</v>
      </c>
      <c r="N203" s="4" t="s">
        <v>616</v>
      </c>
      <c r="O203">
        <f t="shared" si="7"/>
        <v>934912</v>
      </c>
    </row>
    <row r="204" spans="1:15" x14ac:dyDescent="0.25">
      <c r="A204" s="3">
        <v>4114401</v>
      </c>
      <c r="B204" s="3" t="s">
        <v>347</v>
      </c>
      <c r="C204" s="6">
        <v>43571</v>
      </c>
      <c r="D204">
        <v>82129</v>
      </c>
      <c r="E204" s="6">
        <v>2311</v>
      </c>
      <c r="F204" s="6">
        <v>9610</v>
      </c>
      <c r="G204" s="6">
        <v>617</v>
      </c>
      <c r="H204" s="7">
        <v>60</v>
      </c>
      <c r="I204" s="7">
        <v>75</v>
      </c>
      <c r="J204" s="7">
        <f t="shared" si="6"/>
        <v>138373</v>
      </c>
      <c r="K204" s="5">
        <v>853238017.52999997</v>
      </c>
      <c r="L204" s="9">
        <v>1561986</v>
      </c>
      <c r="N204" s="4" t="s">
        <v>617</v>
      </c>
      <c r="O204">
        <f t="shared" si="7"/>
        <v>82129</v>
      </c>
    </row>
    <row r="205" spans="1:15" x14ac:dyDescent="0.25">
      <c r="A205" s="3">
        <v>4114500</v>
      </c>
      <c r="B205" s="3" t="s">
        <v>100</v>
      </c>
      <c r="C205" s="6">
        <v>35961</v>
      </c>
      <c r="D205">
        <v>255000</v>
      </c>
      <c r="E205" s="6">
        <v>1412</v>
      </c>
      <c r="F205" s="6">
        <v>11233</v>
      </c>
      <c r="G205" s="6">
        <v>457</v>
      </c>
      <c r="H205" s="7">
        <v>89</v>
      </c>
      <c r="I205" s="7">
        <v>32</v>
      </c>
      <c r="J205" s="7">
        <f t="shared" si="6"/>
        <v>304184</v>
      </c>
      <c r="K205" s="5">
        <v>542304049.64999998</v>
      </c>
      <c r="L205" s="9">
        <v>460305</v>
      </c>
      <c r="N205" s="4" t="s">
        <v>618</v>
      </c>
      <c r="O205">
        <f t="shared" si="7"/>
        <v>255000</v>
      </c>
    </row>
    <row r="206" spans="1:15" x14ac:dyDescent="0.25">
      <c r="A206" s="3">
        <v>4114609</v>
      </c>
      <c r="B206" s="3" t="s">
        <v>112</v>
      </c>
      <c r="C206" s="6">
        <v>34660</v>
      </c>
      <c r="D206">
        <v>6511184</v>
      </c>
      <c r="E206" s="6">
        <v>2841</v>
      </c>
      <c r="F206" s="6">
        <v>555887</v>
      </c>
      <c r="G206" s="6">
        <v>471</v>
      </c>
      <c r="H206" s="7">
        <v>278</v>
      </c>
      <c r="I206" s="7">
        <v>4</v>
      </c>
      <c r="J206" s="7">
        <f t="shared" si="6"/>
        <v>7105325</v>
      </c>
      <c r="K206" s="5">
        <v>2171456748.0300002</v>
      </c>
      <c r="L206" s="9">
        <v>2832606</v>
      </c>
      <c r="N206" s="4" t="s">
        <v>619</v>
      </c>
      <c r="O206">
        <f t="shared" si="7"/>
        <v>6511184</v>
      </c>
    </row>
    <row r="207" spans="1:15" x14ac:dyDescent="0.25">
      <c r="A207" s="3">
        <v>4114708</v>
      </c>
      <c r="B207" s="3" t="s">
        <v>120</v>
      </c>
      <c r="C207" s="6">
        <v>57410</v>
      </c>
      <c r="D207">
        <v>477000</v>
      </c>
      <c r="E207" s="6">
        <v>1488</v>
      </c>
      <c r="F207" s="6">
        <v>879</v>
      </c>
      <c r="G207" s="6">
        <v>871</v>
      </c>
      <c r="H207" s="7">
        <v>72</v>
      </c>
      <c r="I207" s="7">
        <v>84</v>
      </c>
      <c r="J207" s="7">
        <f t="shared" si="6"/>
        <v>537804</v>
      </c>
      <c r="K207" s="5">
        <v>307013595.75</v>
      </c>
      <c r="L207" s="9">
        <v>129368</v>
      </c>
      <c r="N207" s="4" t="s">
        <v>620</v>
      </c>
      <c r="O207">
        <f t="shared" si="7"/>
        <v>477000</v>
      </c>
    </row>
    <row r="208" spans="1:15" x14ac:dyDescent="0.25">
      <c r="A208" s="3">
        <v>4114807</v>
      </c>
      <c r="B208" s="3" t="s">
        <v>306</v>
      </c>
      <c r="C208" s="6">
        <v>12136</v>
      </c>
      <c r="D208">
        <v>1444873</v>
      </c>
      <c r="E208" s="6">
        <v>1093</v>
      </c>
      <c r="F208" s="6">
        <v>1389</v>
      </c>
      <c r="G208" s="6">
        <v>511</v>
      </c>
      <c r="H208" s="7">
        <v>77</v>
      </c>
      <c r="I208" s="7">
        <v>71</v>
      </c>
      <c r="J208" s="7">
        <f t="shared" si="6"/>
        <v>1460150</v>
      </c>
      <c r="K208" s="5">
        <v>560778068.13999999</v>
      </c>
      <c r="L208" s="9">
        <v>2038419</v>
      </c>
      <c r="N208" s="4" t="s">
        <v>621</v>
      </c>
      <c r="O208">
        <f t="shared" si="7"/>
        <v>1444873</v>
      </c>
    </row>
    <row r="209" spans="1:15" x14ac:dyDescent="0.25">
      <c r="A209" s="3">
        <v>4114906</v>
      </c>
      <c r="B209" s="3" t="s">
        <v>127</v>
      </c>
      <c r="C209" s="6">
        <v>8590</v>
      </c>
      <c r="D209">
        <v>945467</v>
      </c>
      <c r="E209" s="6">
        <v>142</v>
      </c>
      <c r="F209" s="6">
        <v>155</v>
      </c>
      <c r="G209" s="6">
        <v>244</v>
      </c>
      <c r="H209" s="7">
        <v>13</v>
      </c>
      <c r="I209" s="7">
        <v>29</v>
      </c>
      <c r="J209" s="7">
        <f t="shared" si="6"/>
        <v>954640</v>
      </c>
      <c r="K209" s="5">
        <v>646965635.95000005</v>
      </c>
      <c r="L209" s="9">
        <v>391673</v>
      </c>
      <c r="N209" s="4" t="s">
        <v>622</v>
      </c>
      <c r="O209">
        <f t="shared" si="7"/>
        <v>945467</v>
      </c>
    </row>
    <row r="210" spans="1:15" x14ac:dyDescent="0.25">
      <c r="A210" s="3">
        <v>4115002</v>
      </c>
      <c r="B210" s="3" t="s">
        <v>327</v>
      </c>
      <c r="C210" s="6">
        <v>20962</v>
      </c>
      <c r="D210">
        <v>599248</v>
      </c>
      <c r="E210" s="6">
        <v>414</v>
      </c>
      <c r="F210" s="6">
        <v>577</v>
      </c>
      <c r="G210" s="6">
        <v>325</v>
      </c>
      <c r="H210" s="7">
        <v>31</v>
      </c>
      <c r="I210" s="7">
        <v>19</v>
      </c>
      <c r="J210" s="7">
        <f t="shared" si="6"/>
        <v>621576</v>
      </c>
      <c r="K210" s="5">
        <v>253413046.56999999</v>
      </c>
      <c r="L210" s="9">
        <v>171133</v>
      </c>
      <c r="N210" s="4" t="s">
        <v>623</v>
      </c>
      <c r="O210">
        <f t="shared" si="7"/>
        <v>599248</v>
      </c>
    </row>
    <row r="211" spans="1:15" x14ac:dyDescent="0.25">
      <c r="A211" s="3">
        <v>4115101</v>
      </c>
      <c r="B211" s="3" t="s">
        <v>381</v>
      </c>
      <c r="C211" s="6">
        <v>14417</v>
      </c>
      <c r="D211">
        <v>225000</v>
      </c>
      <c r="E211" s="6">
        <v>440</v>
      </c>
      <c r="F211" s="6">
        <v>429</v>
      </c>
      <c r="G211" s="6">
        <v>235</v>
      </c>
      <c r="H211" s="7">
        <v>3</v>
      </c>
      <c r="I211" s="7">
        <v>4</v>
      </c>
      <c r="J211" s="7">
        <f t="shared" si="6"/>
        <v>240528</v>
      </c>
      <c r="K211" s="5">
        <v>256233271.46000001</v>
      </c>
      <c r="L211" s="9">
        <v>269889</v>
      </c>
      <c r="N211" s="4" t="s">
        <v>624</v>
      </c>
      <c r="O211">
        <f t="shared" si="7"/>
        <v>225000</v>
      </c>
    </row>
    <row r="212" spans="1:15" x14ac:dyDescent="0.25">
      <c r="A212" s="3">
        <v>4115200</v>
      </c>
      <c r="B212" s="3" t="s">
        <v>77</v>
      </c>
      <c r="C212" s="6">
        <v>4226</v>
      </c>
      <c r="D212">
        <v>1117449</v>
      </c>
      <c r="E212" s="6">
        <v>1532</v>
      </c>
      <c r="F212" s="6">
        <v>1421</v>
      </c>
      <c r="G212" s="6">
        <v>1146</v>
      </c>
      <c r="H212" s="7">
        <v>80</v>
      </c>
      <c r="I212" s="7">
        <v>29</v>
      </c>
      <c r="J212" s="7">
        <f t="shared" si="6"/>
        <v>1125883</v>
      </c>
      <c r="K212" s="5">
        <v>356553317.45999998</v>
      </c>
      <c r="L212" s="9">
        <v>19992894</v>
      </c>
      <c r="N212" s="4" t="s">
        <v>625</v>
      </c>
      <c r="O212">
        <f t="shared" si="7"/>
        <v>1117449</v>
      </c>
    </row>
    <row r="213" spans="1:15" x14ac:dyDescent="0.25">
      <c r="A213" s="3">
        <v>4115309</v>
      </c>
      <c r="B213" s="3" t="s">
        <v>345</v>
      </c>
      <c r="C213" s="6">
        <v>5097</v>
      </c>
      <c r="D213">
        <v>484718</v>
      </c>
      <c r="E213" s="6">
        <v>1058</v>
      </c>
      <c r="F213" s="6">
        <v>1003</v>
      </c>
      <c r="G213" s="6">
        <v>195</v>
      </c>
      <c r="H213" s="7">
        <v>119</v>
      </c>
      <c r="I213" s="7">
        <v>5</v>
      </c>
      <c r="J213" s="7">
        <f t="shared" si="6"/>
        <v>492195</v>
      </c>
      <c r="K213" s="5">
        <v>366901427.10000002</v>
      </c>
      <c r="L213" s="9">
        <v>371992</v>
      </c>
      <c r="N213" s="4" t="s">
        <v>626</v>
      </c>
      <c r="O213">
        <f t="shared" si="7"/>
        <v>484718</v>
      </c>
    </row>
    <row r="214" spans="1:15" x14ac:dyDescent="0.25">
      <c r="A214" s="3">
        <v>4115358</v>
      </c>
      <c r="B214" s="3" t="s">
        <v>375</v>
      </c>
      <c r="C214" s="6">
        <v>6774</v>
      </c>
      <c r="D214">
        <v>2613347</v>
      </c>
      <c r="E214" s="6">
        <v>954</v>
      </c>
      <c r="F214" s="6">
        <v>98125</v>
      </c>
      <c r="G214" s="6">
        <v>154</v>
      </c>
      <c r="H214" s="7">
        <v>94</v>
      </c>
      <c r="I214" s="7">
        <v>1</v>
      </c>
      <c r="J214" s="7">
        <f t="shared" si="6"/>
        <v>2719449</v>
      </c>
      <c r="K214" s="5">
        <v>837553676.17999995</v>
      </c>
      <c r="L214" s="9">
        <v>446673</v>
      </c>
      <c r="N214" s="4" t="s">
        <v>627</v>
      </c>
      <c r="O214">
        <f t="shared" si="7"/>
        <v>2613347</v>
      </c>
    </row>
    <row r="215" spans="1:15" x14ac:dyDescent="0.25">
      <c r="A215" s="3">
        <v>4115408</v>
      </c>
      <c r="B215" s="3" t="s">
        <v>230</v>
      </c>
      <c r="C215" s="6">
        <v>17092</v>
      </c>
      <c r="D215">
        <v>1129977</v>
      </c>
      <c r="E215" s="6">
        <v>1946</v>
      </c>
      <c r="F215" s="6">
        <v>11219</v>
      </c>
      <c r="G215" s="6">
        <v>611</v>
      </c>
      <c r="H215" s="7">
        <v>195</v>
      </c>
      <c r="I215" s="7">
        <v>37</v>
      </c>
      <c r="J215" s="7">
        <f t="shared" si="6"/>
        <v>1161077</v>
      </c>
      <c r="K215" s="5">
        <v>626921318.37</v>
      </c>
      <c r="L215" s="9">
        <v>541512</v>
      </c>
      <c r="N215" s="4" t="s">
        <v>628</v>
      </c>
      <c r="O215">
        <f t="shared" si="7"/>
        <v>1129977</v>
      </c>
    </row>
    <row r="216" spans="1:15" x14ac:dyDescent="0.25">
      <c r="A216" s="3">
        <v>4115457</v>
      </c>
      <c r="B216" s="3" t="s">
        <v>277</v>
      </c>
      <c r="C216" s="6">
        <v>57713</v>
      </c>
      <c r="D216">
        <v>40300</v>
      </c>
      <c r="E216" s="6">
        <v>812</v>
      </c>
      <c r="F216" s="6">
        <v>2014</v>
      </c>
      <c r="G216" s="6">
        <v>941</v>
      </c>
      <c r="H216" s="7">
        <v>323</v>
      </c>
      <c r="I216" s="7">
        <v>62</v>
      </c>
      <c r="J216" s="7">
        <f t="shared" si="6"/>
        <v>102165</v>
      </c>
      <c r="K216" s="5">
        <v>197821123.87</v>
      </c>
      <c r="L216" s="9">
        <v>107583</v>
      </c>
      <c r="N216" s="4" t="s">
        <v>629</v>
      </c>
      <c r="O216">
        <f t="shared" si="7"/>
        <v>40300</v>
      </c>
    </row>
    <row r="217" spans="1:15" x14ac:dyDescent="0.25">
      <c r="A217" s="3">
        <v>4115507</v>
      </c>
      <c r="B217" s="3" t="s">
        <v>135</v>
      </c>
      <c r="C217" s="6">
        <v>10548</v>
      </c>
      <c r="D217">
        <v>518117</v>
      </c>
      <c r="E217" s="6">
        <v>332</v>
      </c>
      <c r="F217" s="6">
        <v>1686</v>
      </c>
      <c r="G217" s="6">
        <v>216</v>
      </c>
      <c r="H217" s="7">
        <v>14</v>
      </c>
      <c r="I217" s="7">
        <v>29</v>
      </c>
      <c r="J217" s="7">
        <f t="shared" si="6"/>
        <v>530942</v>
      </c>
      <c r="K217" s="5">
        <v>160397330.88</v>
      </c>
      <c r="L217" s="9">
        <v>88264</v>
      </c>
      <c r="N217" s="4" t="s">
        <v>630</v>
      </c>
      <c r="O217">
        <f t="shared" si="7"/>
        <v>518117</v>
      </c>
    </row>
    <row r="218" spans="1:15" x14ac:dyDescent="0.25">
      <c r="A218" s="3">
        <v>4115606</v>
      </c>
      <c r="B218" s="3" t="s">
        <v>14</v>
      </c>
      <c r="C218" s="6">
        <v>27925</v>
      </c>
      <c r="D218">
        <v>5142610</v>
      </c>
      <c r="E218" s="6">
        <v>2046</v>
      </c>
      <c r="F218" s="6">
        <v>46925</v>
      </c>
      <c r="G218" s="6">
        <v>415</v>
      </c>
      <c r="H218" s="7">
        <v>112</v>
      </c>
      <c r="I218" s="7">
        <v>16</v>
      </c>
      <c r="J218" s="7">
        <f t="shared" si="6"/>
        <v>5220049</v>
      </c>
      <c r="K218" s="5">
        <v>939856024.97000003</v>
      </c>
      <c r="L218" s="9">
        <v>991146</v>
      </c>
      <c r="N218" s="4" t="s">
        <v>631</v>
      </c>
      <c r="O218">
        <f t="shared" si="7"/>
        <v>5142610</v>
      </c>
    </row>
    <row r="219" spans="1:15" x14ac:dyDescent="0.25">
      <c r="A219" s="3">
        <v>4115705</v>
      </c>
      <c r="B219" s="3" t="s">
        <v>318</v>
      </c>
      <c r="C219" s="6">
        <v>4</v>
      </c>
      <c r="D219">
        <v>636</v>
      </c>
      <c r="E219" s="6">
        <v>71</v>
      </c>
      <c r="F219" s="6">
        <v>34</v>
      </c>
      <c r="G219" s="6">
        <v>72</v>
      </c>
      <c r="H219" s="7">
        <v>3</v>
      </c>
      <c r="I219" s="7">
        <v>3</v>
      </c>
      <c r="J219" s="7">
        <f t="shared" si="6"/>
        <v>823</v>
      </c>
      <c r="K219" s="5">
        <v>15173994.539999999</v>
      </c>
      <c r="L219" s="9">
        <v>820359</v>
      </c>
      <c r="N219" s="4" t="s">
        <v>632</v>
      </c>
      <c r="O219">
        <f t="shared" si="7"/>
        <v>636</v>
      </c>
    </row>
    <row r="220" spans="1:15" x14ac:dyDescent="0.25">
      <c r="A220" s="3">
        <v>4115739</v>
      </c>
      <c r="B220" s="3" t="s">
        <v>355</v>
      </c>
      <c r="C220" s="6">
        <v>28246</v>
      </c>
      <c r="D220">
        <v>40100</v>
      </c>
      <c r="E220" s="6">
        <v>736</v>
      </c>
      <c r="F220" s="6">
        <v>1347</v>
      </c>
      <c r="G220" s="6">
        <v>608</v>
      </c>
      <c r="H220" s="7">
        <v>299</v>
      </c>
      <c r="I220" s="7">
        <v>78</v>
      </c>
      <c r="J220" s="7">
        <f t="shared" si="6"/>
        <v>71414</v>
      </c>
      <c r="K220" s="5">
        <v>203111586.34</v>
      </c>
      <c r="L220" s="9">
        <v>97903</v>
      </c>
      <c r="N220" s="4" t="s">
        <v>633</v>
      </c>
      <c r="O220">
        <f t="shared" si="7"/>
        <v>40100</v>
      </c>
    </row>
    <row r="221" spans="1:15" x14ac:dyDescent="0.25">
      <c r="A221" s="3">
        <v>4115754</v>
      </c>
      <c r="B221" s="3" t="s">
        <v>128</v>
      </c>
      <c r="C221" s="6">
        <v>2639</v>
      </c>
      <c r="D221">
        <v>74588</v>
      </c>
      <c r="E221" s="6">
        <v>310</v>
      </c>
      <c r="F221" s="6">
        <v>350</v>
      </c>
      <c r="G221" s="6">
        <v>77</v>
      </c>
      <c r="H221" s="7">
        <v>3</v>
      </c>
      <c r="I221" s="7">
        <v>23</v>
      </c>
      <c r="J221" s="7">
        <f t="shared" si="6"/>
        <v>77990</v>
      </c>
      <c r="K221" s="5">
        <v>128961329.64</v>
      </c>
      <c r="L221" s="9">
        <v>356689</v>
      </c>
      <c r="N221" s="4" t="s">
        <v>634</v>
      </c>
      <c r="O221">
        <f t="shared" si="7"/>
        <v>74588</v>
      </c>
    </row>
    <row r="222" spans="1:15" x14ac:dyDescent="0.25">
      <c r="A222" s="3">
        <v>4115804</v>
      </c>
      <c r="B222" s="3" t="s">
        <v>15</v>
      </c>
      <c r="C222" s="6">
        <v>25808</v>
      </c>
      <c r="D222">
        <v>4775025</v>
      </c>
      <c r="E222" s="6">
        <v>2163</v>
      </c>
      <c r="F222" s="6">
        <v>127920</v>
      </c>
      <c r="G222" s="6">
        <v>309</v>
      </c>
      <c r="H222" s="7">
        <v>127</v>
      </c>
      <c r="I222" s="7">
        <v>5</v>
      </c>
      <c r="J222" s="7">
        <f t="shared" si="6"/>
        <v>4931357</v>
      </c>
      <c r="K222" s="5">
        <v>1112639887.4100001</v>
      </c>
      <c r="L222" s="9">
        <v>2068487</v>
      </c>
      <c r="N222" s="4" t="s">
        <v>635</v>
      </c>
      <c r="O222">
        <f t="shared" si="7"/>
        <v>4775025</v>
      </c>
    </row>
    <row r="223" spans="1:15" x14ac:dyDescent="0.25">
      <c r="A223" s="3">
        <v>4115853</v>
      </c>
      <c r="B223" s="3" t="s">
        <v>372</v>
      </c>
      <c r="C223" s="6">
        <v>10494</v>
      </c>
      <c r="D223">
        <v>2858447</v>
      </c>
      <c r="E223" s="6">
        <v>780</v>
      </c>
      <c r="F223" s="6">
        <v>39487</v>
      </c>
      <c r="G223" s="6">
        <v>124</v>
      </c>
      <c r="H223" s="7">
        <v>65</v>
      </c>
      <c r="I223" s="7">
        <v>2</v>
      </c>
      <c r="J223" s="7">
        <f t="shared" si="6"/>
        <v>2909399</v>
      </c>
      <c r="K223" s="5">
        <v>561413694.90999997</v>
      </c>
      <c r="L223" s="9">
        <v>246928</v>
      </c>
      <c r="N223" s="4" t="s">
        <v>636</v>
      </c>
      <c r="O223">
        <f t="shared" si="7"/>
        <v>2858447</v>
      </c>
    </row>
    <row r="224" spans="1:15" x14ac:dyDescent="0.25">
      <c r="A224" s="3">
        <v>4115903</v>
      </c>
      <c r="B224" s="3" t="s">
        <v>328</v>
      </c>
      <c r="C224" s="6">
        <v>13824</v>
      </c>
      <c r="D224">
        <v>403674</v>
      </c>
      <c r="E224" s="6">
        <v>228</v>
      </c>
      <c r="F224" s="6">
        <v>128</v>
      </c>
      <c r="G224" s="6">
        <v>206</v>
      </c>
      <c r="H224" s="7">
        <v>41</v>
      </c>
      <c r="I224" s="7">
        <v>7</v>
      </c>
      <c r="J224" s="7">
        <f t="shared" si="6"/>
        <v>418108</v>
      </c>
      <c r="K224" s="5">
        <v>269405082.82999998</v>
      </c>
      <c r="L224" s="9">
        <v>130073</v>
      </c>
      <c r="N224" s="4" t="s">
        <v>637</v>
      </c>
      <c r="O224">
        <f t="shared" si="7"/>
        <v>403674</v>
      </c>
    </row>
    <row r="225" spans="1:15" x14ac:dyDescent="0.25">
      <c r="A225" s="3">
        <v>4116000</v>
      </c>
      <c r="B225" s="3" t="s">
        <v>288</v>
      </c>
      <c r="C225" s="6">
        <v>4582</v>
      </c>
      <c r="D225">
        <v>618350</v>
      </c>
      <c r="E225" s="6">
        <v>80</v>
      </c>
      <c r="F225" s="6">
        <v>195</v>
      </c>
      <c r="G225" s="6">
        <v>57</v>
      </c>
      <c r="H225" s="7">
        <v>21</v>
      </c>
      <c r="I225" s="7">
        <v>14</v>
      </c>
      <c r="J225" s="7">
        <f t="shared" si="6"/>
        <v>623299</v>
      </c>
      <c r="K225" s="5">
        <v>74835552.209999993</v>
      </c>
      <c r="L225" s="9">
        <v>42680</v>
      </c>
      <c r="N225" s="4" t="s">
        <v>638</v>
      </c>
      <c r="O225">
        <f t="shared" si="7"/>
        <v>618350</v>
      </c>
    </row>
    <row r="226" spans="1:15" x14ac:dyDescent="0.25">
      <c r="A226" s="3">
        <v>4116059</v>
      </c>
      <c r="B226" s="3" t="s">
        <v>16</v>
      </c>
      <c r="C226" s="6">
        <v>22233</v>
      </c>
      <c r="D226">
        <v>2587000</v>
      </c>
      <c r="E226" s="6">
        <v>1241</v>
      </c>
      <c r="F226" s="6">
        <v>202080</v>
      </c>
      <c r="G226" s="6">
        <v>264</v>
      </c>
      <c r="H226" s="7">
        <v>87</v>
      </c>
      <c r="I226" s="7">
        <v>3</v>
      </c>
      <c r="J226" s="7">
        <f t="shared" si="6"/>
        <v>2812908</v>
      </c>
      <c r="K226" s="5">
        <v>1182229546.24</v>
      </c>
      <c r="L226" s="9">
        <v>387446</v>
      </c>
      <c r="N226" s="4" t="s">
        <v>639</v>
      </c>
      <c r="O226">
        <f t="shared" si="7"/>
        <v>2587000</v>
      </c>
    </row>
    <row r="227" spans="1:15" x14ac:dyDescent="0.25">
      <c r="A227" s="3">
        <v>4116109</v>
      </c>
      <c r="B227" s="3" t="s">
        <v>148</v>
      </c>
      <c r="C227" s="6">
        <v>27569</v>
      </c>
      <c r="D227">
        <v>881350</v>
      </c>
      <c r="E227" s="6">
        <v>583</v>
      </c>
      <c r="F227" s="6">
        <v>1464</v>
      </c>
      <c r="G227" s="6">
        <v>553</v>
      </c>
      <c r="H227" s="7">
        <v>42</v>
      </c>
      <c r="I227" s="7">
        <v>83</v>
      </c>
      <c r="J227" s="7">
        <f t="shared" si="6"/>
        <v>911644</v>
      </c>
      <c r="K227" s="5">
        <v>369053359.16000003</v>
      </c>
      <c r="L227" s="9">
        <v>293512</v>
      </c>
      <c r="N227" s="4" t="s">
        <v>640</v>
      </c>
      <c r="O227">
        <f t="shared" si="7"/>
        <v>881350</v>
      </c>
    </row>
    <row r="228" spans="1:15" x14ac:dyDescent="0.25">
      <c r="A228" s="3">
        <v>4116208</v>
      </c>
      <c r="B228" s="3" t="s">
        <v>319</v>
      </c>
      <c r="C228" s="6">
        <v>1450</v>
      </c>
      <c r="D228">
        <v>4573</v>
      </c>
      <c r="E228" s="6">
        <v>120</v>
      </c>
      <c r="F228" s="6">
        <v>256</v>
      </c>
      <c r="G228" s="6">
        <v>128</v>
      </c>
      <c r="H228" s="7">
        <v>9</v>
      </c>
      <c r="I228" s="7">
        <v>2</v>
      </c>
      <c r="J228" s="7">
        <f t="shared" si="6"/>
        <v>6538</v>
      </c>
      <c r="K228" s="5">
        <v>101485511.12</v>
      </c>
      <c r="L228" s="9">
        <v>368441</v>
      </c>
      <c r="N228" s="4" t="s">
        <v>641</v>
      </c>
      <c r="O228">
        <f t="shared" si="7"/>
        <v>4573</v>
      </c>
    </row>
    <row r="229" spans="1:15" x14ac:dyDescent="0.25">
      <c r="A229" s="3">
        <v>4116307</v>
      </c>
      <c r="B229" s="3" t="s">
        <v>296</v>
      </c>
      <c r="C229" s="6">
        <v>9643</v>
      </c>
      <c r="D229">
        <v>4065000</v>
      </c>
      <c r="E229" s="6">
        <v>402</v>
      </c>
      <c r="F229" s="6">
        <v>194</v>
      </c>
      <c r="G229" s="6">
        <v>126</v>
      </c>
      <c r="H229" s="7">
        <v>2</v>
      </c>
      <c r="I229" s="7">
        <v>12</v>
      </c>
      <c r="J229" s="7">
        <f t="shared" si="6"/>
        <v>4075379</v>
      </c>
      <c r="K229" s="5">
        <v>486118528.75999999</v>
      </c>
      <c r="L229" s="9">
        <v>128233</v>
      </c>
      <c r="N229" s="4" t="s">
        <v>642</v>
      </c>
      <c r="O229">
        <f t="shared" si="7"/>
        <v>4065000</v>
      </c>
    </row>
    <row r="230" spans="1:15" x14ac:dyDescent="0.25">
      <c r="A230" s="3">
        <v>4116406</v>
      </c>
      <c r="B230" s="3" t="s">
        <v>301</v>
      </c>
      <c r="C230" s="6">
        <v>9966</v>
      </c>
      <c r="D230">
        <v>432000</v>
      </c>
      <c r="E230" s="6">
        <v>233</v>
      </c>
      <c r="F230" s="6">
        <v>222</v>
      </c>
      <c r="G230" s="6">
        <v>176</v>
      </c>
      <c r="H230" s="7">
        <v>0</v>
      </c>
      <c r="I230" s="7">
        <v>22</v>
      </c>
      <c r="J230" s="7">
        <f t="shared" si="6"/>
        <v>442619</v>
      </c>
      <c r="K230" s="5">
        <v>141240628.72999999</v>
      </c>
      <c r="L230" s="9">
        <v>92785</v>
      </c>
      <c r="N230" s="4" t="s">
        <v>643</v>
      </c>
      <c r="O230">
        <f t="shared" si="7"/>
        <v>432000</v>
      </c>
    </row>
    <row r="231" spans="1:15" x14ac:dyDescent="0.25">
      <c r="A231" s="3">
        <v>4116505</v>
      </c>
      <c r="B231" s="3" t="s">
        <v>329</v>
      </c>
      <c r="C231" s="6">
        <v>12434</v>
      </c>
      <c r="D231">
        <v>142424</v>
      </c>
      <c r="E231" s="6">
        <v>168</v>
      </c>
      <c r="F231" s="6">
        <v>119</v>
      </c>
      <c r="G231" s="6">
        <v>207</v>
      </c>
      <c r="H231" s="7">
        <v>5</v>
      </c>
      <c r="I231" s="7">
        <v>28</v>
      </c>
      <c r="J231" s="7">
        <f t="shared" si="6"/>
        <v>155385</v>
      </c>
      <c r="K231" s="5">
        <v>111624900.47</v>
      </c>
      <c r="L231" s="9">
        <v>45759</v>
      </c>
      <c r="N231" s="4" t="s">
        <v>644</v>
      </c>
      <c r="O231">
        <f t="shared" si="7"/>
        <v>142424</v>
      </c>
    </row>
    <row r="232" spans="1:15" x14ac:dyDescent="0.25">
      <c r="A232" s="3">
        <v>4116604</v>
      </c>
      <c r="B232" s="3" t="s">
        <v>187</v>
      </c>
      <c r="C232" s="6">
        <v>5102</v>
      </c>
      <c r="D232">
        <v>48338</v>
      </c>
      <c r="E232" s="6">
        <v>47</v>
      </c>
      <c r="F232" s="6">
        <v>69</v>
      </c>
      <c r="G232" s="6">
        <v>223</v>
      </c>
      <c r="H232" s="7">
        <v>20</v>
      </c>
      <c r="I232" s="7">
        <v>64</v>
      </c>
      <c r="J232" s="7">
        <f t="shared" si="6"/>
        <v>53863</v>
      </c>
      <c r="K232" s="5">
        <v>76592050.819999993</v>
      </c>
      <c r="L232" s="9">
        <v>95593</v>
      </c>
      <c r="N232" s="4" t="s">
        <v>645</v>
      </c>
      <c r="O232">
        <f t="shared" si="7"/>
        <v>48338</v>
      </c>
    </row>
    <row r="233" spans="1:15" x14ac:dyDescent="0.25">
      <c r="A233" s="3">
        <v>4116703</v>
      </c>
      <c r="B233" s="3" t="s">
        <v>17</v>
      </c>
      <c r="C233" s="6">
        <v>10470</v>
      </c>
      <c r="D233">
        <v>5925082</v>
      </c>
      <c r="E233" s="6">
        <v>1347</v>
      </c>
      <c r="F233" s="6">
        <v>110264</v>
      </c>
      <c r="G233" s="6">
        <v>164</v>
      </c>
      <c r="H233" s="7">
        <v>84</v>
      </c>
      <c r="I233" s="7">
        <v>28</v>
      </c>
      <c r="J233" s="7">
        <f t="shared" si="6"/>
        <v>6047439</v>
      </c>
      <c r="K233" s="5">
        <v>1777896834.05</v>
      </c>
      <c r="L233" s="9">
        <v>745178</v>
      </c>
      <c r="N233" s="4" t="s">
        <v>646</v>
      </c>
      <c r="O233">
        <f t="shared" si="7"/>
        <v>5925082</v>
      </c>
    </row>
    <row r="234" spans="1:15" x14ac:dyDescent="0.25">
      <c r="A234" s="3">
        <v>4116802</v>
      </c>
      <c r="B234" s="3" t="s">
        <v>137</v>
      </c>
      <c r="C234" s="6">
        <v>36770</v>
      </c>
      <c r="D234">
        <v>545211</v>
      </c>
      <c r="E234" s="6">
        <v>793</v>
      </c>
      <c r="F234" s="6">
        <v>1506</v>
      </c>
      <c r="G234" s="6">
        <v>575</v>
      </c>
      <c r="H234" s="7">
        <v>12</v>
      </c>
      <c r="I234" s="7">
        <v>49</v>
      </c>
      <c r="J234" s="7">
        <f t="shared" si="6"/>
        <v>584916</v>
      </c>
      <c r="K234" s="5">
        <v>446808594.00999999</v>
      </c>
      <c r="L234" s="9">
        <v>309184</v>
      </c>
      <c r="N234" s="4" t="s">
        <v>647</v>
      </c>
      <c r="O234">
        <f t="shared" si="7"/>
        <v>545211</v>
      </c>
    </row>
    <row r="235" spans="1:15" x14ac:dyDescent="0.25">
      <c r="A235" s="3">
        <v>4116901</v>
      </c>
      <c r="B235" s="3" t="s">
        <v>81</v>
      </c>
      <c r="C235" s="6">
        <v>30831</v>
      </c>
      <c r="D235">
        <v>3137918</v>
      </c>
      <c r="E235" s="6">
        <v>1188</v>
      </c>
      <c r="F235" s="6">
        <v>3691</v>
      </c>
      <c r="G235" s="6">
        <v>664</v>
      </c>
      <c r="H235" s="7">
        <v>65</v>
      </c>
      <c r="I235" s="7">
        <v>54</v>
      </c>
      <c r="J235" s="7">
        <f t="shared" si="6"/>
        <v>3174411</v>
      </c>
      <c r="K235" s="5">
        <v>749373322.92999995</v>
      </c>
      <c r="L235" s="9">
        <v>860270</v>
      </c>
      <c r="N235" s="4" t="s">
        <v>648</v>
      </c>
      <c r="O235">
        <f t="shared" si="7"/>
        <v>3137918</v>
      </c>
    </row>
    <row r="236" spans="1:15" x14ac:dyDescent="0.25">
      <c r="A236" s="3">
        <v>4116950</v>
      </c>
      <c r="B236" s="3" t="s">
        <v>225</v>
      </c>
      <c r="C236" s="6">
        <v>29892</v>
      </c>
      <c r="D236">
        <v>1133327</v>
      </c>
      <c r="E236" s="6">
        <v>510</v>
      </c>
      <c r="F236" s="6">
        <v>6844</v>
      </c>
      <c r="G236" s="6">
        <v>184</v>
      </c>
      <c r="H236" s="7">
        <v>0</v>
      </c>
      <c r="I236" s="7">
        <v>0</v>
      </c>
      <c r="J236" s="7">
        <f t="shared" si="6"/>
        <v>1170757</v>
      </c>
      <c r="K236" s="5">
        <v>427675081.75</v>
      </c>
      <c r="L236" s="9">
        <v>139551</v>
      </c>
      <c r="N236" s="4" t="s">
        <v>649</v>
      </c>
      <c r="O236">
        <f t="shared" si="7"/>
        <v>1133327</v>
      </c>
    </row>
    <row r="237" spans="1:15" x14ac:dyDescent="0.25">
      <c r="A237" s="3">
        <v>4117008</v>
      </c>
      <c r="B237" s="3" t="s">
        <v>192</v>
      </c>
      <c r="C237" s="6">
        <v>12408</v>
      </c>
      <c r="D237">
        <v>893687</v>
      </c>
      <c r="E237" s="6">
        <v>220</v>
      </c>
      <c r="F237" s="6">
        <v>0</v>
      </c>
      <c r="G237" s="6">
        <v>393</v>
      </c>
      <c r="H237" s="7">
        <v>0</v>
      </c>
      <c r="I237" s="7">
        <v>61</v>
      </c>
      <c r="J237" s="7">
        <f t="shared" si="6"/>
        <v>906769</v>
      </c>
      <c r="K237" s="5">
        <v>231643586.59999999</v>
      </c>
      <c r="L237" s="9">
        <v>281471</v>
      </c>
      <c r="N237" s="4" t="s">
        <v>650</v>
      </c>
      <c r="O237">
        <f t="shared" si="7"/>
        <v>893687</v>
      </c>
    </row>
    <row r="238" spans="1:15" x14ac:dyDescent="0.25">
      <c r="A238" s="3">
        <v>4117057</v>
      </c>
      <c r="B238" s="3" t="s">
        <v>67</v>
      </c>
      <c r="C238" s="6">
        <v>104080</v>
      </c>
      <c r="D238">
        <v>296360</v>
      </c>
      <c r="E238" s="6">
        <v>2079</v>
      </c>
      <c r="F238" s="6">
        <v>2642</v>
      </c>
      <c r="G238" s="6">
        <v>1876</v>
      </c>
      <c r="H238" s="7">
        <v>143</v>
      </c>
      <c r="I238" s="7">
        <v>98</v>
      </c>
      <c r="J238" s="7">
        <f t="shared" si="6"/>
        <v>407278</v>
      </c>
      <c r="K238" s="5">
        <v>457870682.99000001</v>
      </c>
      <c r="L238" s="9">
        <v>252969</v>
      </c>
      <c r="N238" s="4" t="s">
        <v>651</v>
      </c>
      <c r="O238">
        <f t="shared" si="7"/>
        <v>296360</v>
      </c>
    </row>
    <row r="239" spans="1:15" x14ac:dyDescent="0.25">
      <c r="A239" s="3">
        <v>4117107</v>
      </c>
      <c r="B239" s="3" t="s">
        <v>87</v>
      </c>
      <c r="C239" s="6">
        <v>24801</v>
      </c>
      <c r="D239">
        <v>229517</v>
      </c>
      <c r="E239" s="6">
        <v>687</v>
      </c>
      <c r="F239" s="6">
        <v>565</v>
      </c>
      <c r="G239" s="6">
        <v>323</v>
      </c>
      <c r="H239" s="7">
        <v>54</v>
      </c>
      <c r="I239" s="7">
        <v>38</v>
      </c>
      <c r="J239" s="7">
        <f t="shared" si="6"/>
        <v>255985</v>
      </c>
      <c r="K239" s="5">
        <v>245288393.96000001</v>
      </c>
      <c r="L239" s="9">
        <v>398304</v>
      </c>
      <c r="N239" s="4" t="s">
        <v>652</v>
      </c>
      <c r="O239">
        <f t="shared" si="7"/>
        <v>229517</v>
      </c>
    </row>
    <row r="240" spans="1:15" x14ac:dyDescent="0.25">
      <c r="A240" s="3">
        <v>4117206</v>
      </c>
      <c r="B240" s="3" t="s">
        <v>389</v>
      </c>
      <c r="C240" s="6">
        <v>15375</v>
      </c>
      <c r="D240">
        <v>566000</v>
      </c>
      <c r="E240" s="6">
        <v>236</v>
      </c>
      <c r="F240" s="6">
        <v>71</v>
      </c>
      <c r="G240" s="6">
        <v>159</v>
      </c>
      <c r="H240" s="7">
        <v>14</v>
      </c>
      <c r="I240" s="7">
        <v>10</v>
      </c>
      <c r="J240" s="7">
        <f t="shared" si="6"/>
        <v>581865</v>
      </c>
      <c r="K240" s="5">
        <v>275486486.38999999</v>
      </c>
      <c r="L240" s="9">
        <v>98644</v>
      </c>
      <c r="N240" s="4" t="s">
        <v>653</v>
      </c>
      <c r="O240">
        <f t="shared" si="7"/>
        <v>566000</v>
      </c>
    </row>
    <row r="241" spans="1:15" x14ac:dyDescent="0.25">
      <c r="A241" s="3">
        <v>4117255</v>
      </c>
      <c r="B241" s="3" t="s">
        <v>226</v>
      </c>
      <c r="C241" s="6">
        <v>25043</v>
      </c>
      <c r="D241">
        <v>3278463</v>
      </c>
      <c r="E241" s="6">
        <v>853</v>
      </c>
      <c r="F241" s="6">
        <v>1078</v>
      </c>
      <c r="G241" s="6">
        <v>193</v>
      </c>
      <c r="H241" s="7">
        <v>128</v>
      </c>
      <c r="I241" s="7">
        <v>9</v>
      </c>
      <c r="J241" s="7">
        <f t="shared" si="6"/>
        <v>3305767</v>
      </c>
      <c r="K241" s="5">
        <v>733010724.88</v>
      </c>
      <c r="L241" s="9">
        <v>392386</v>
      </c>
      <c r="N241" s="4" t="s">
        <v>654</v>
      </c>
      <c r="O241">
        <f t="shared" si="7"/>
        <v>3278463</v>
      </c>
    </row>
    <row r="242" spans="1:15" x14ac:dyDescent="0.25">
      <c r="A242" s="3">
        <v>4117214</v>
      </c>
      <c r="B242" s="3" t="s">
        <v>181</v>
      </c>
      <c r="C242" s="6">
        <v>552</v>
      </c>
      <c r="D242">
        <v>1200</v>
      </c>
      <c r="E242" s="6">
        <v>344</v>
      </c>
      <c r="F242" s="6">
        <v>124</v>
      </c>
      <c r="G242" s="6">
        <v>19</v>
      </c>
      <c r="H242" s="7">
        <v>14</v>
      </c>
      <c r="I242" s="7">
        <v>1</v>
      </c>
      <c r="J242" s="7">
        <f t="shared" si="6"/>
        <v>2254</v>
      </c>
      <c r="K242" s="5">
        <v>126037573.86</v>
      </c>
      <c r="L242" s="9">
        <v>91795</v>
      </c>
      <c r="N242" s="4" t="s">
        <v>409</v>
      </c>
      <c r="O242">
        <f t="shared" si="7"/>
        <v>1200</v>
      </c>
    </row>
    <row r="243" spans="1:15" x14ac:dyDescent="0.25">
      <c r="A243" s="3">
        <v>4117222</v>
      </c>
      <c r="B243" s="3" t="s">
        <v>376</v>
      </c>
      <c r="C243" s="6">
        <v>8908</v>
      </c>
      <c r="D243">
        <v>2086420</v>
      </c>
      <c r="E243" s="6">
        <v>1512</v>
      </c>
      <c r="F243" s="6">
        <v>221645</v>
      </c>
      <c r="G243" s="6">
        <v>51</v>
      </c>
      <c r="H243" s="7">
        <v>215</v>
      </c>
      <c r="I243" s="7">
        <v>1</v>
      </c>
      <c r="J243" s="7">
        <f t="shared" si="6"/>
        <v>2318752</v>
      </c>
      <c r="K243" s="5">
        <v>1058235188.72</v>
      </c>
      <c r="L243" s="9">
        <v>428171</v>
      </c>
      <c r="N243" s="4" t="s">
        <v>655</v>
      </c>
      <c r="O243">
        <f t="shared" si="7"/>
        <v>2086420</v>
      </c>
    </row>
    <row r="244" spans="1:15" x14ac:dyDescent="0.25">
      <c r="A244" s="3">
        <v>4117271</v>
      </c>
      <c r="B244" s="3" t="s">
        <v>352</v>
      </c>
      <c r="C244" s="6">
        <v>59262</v>
      </c>
      <c r="D244">
        <v>29650</v>
      </c>
      <c r="E244" s="6">
        <v>1223</v>
      </c>
      <c r="F244" s="6">
        <v>854</v>
      </c>
      <c r="G244" s="6">
        <v>784</v>
      </c>
      <c r="H244" s="7">
        <v>62</v>
      </c>
      <c r="I244" s="7">
        <v>163</v>
      </c>
      <c r="J244" s="7">
        <f t="shared" si="6"/>
        <v>91998</v>
      </c>
      <c r="K244" s="5">
        <v>306325237.19</v>
      </c>
      <c r="L244" s="9">
        <v>162704</v>
      </c>
      <c r="N244" s="4" t="s">
        <v>656</v>
      </c>
      <c r="O244">
        <f t="shared" si="7"/>
        <v>29650</v>
      </c>
    </row>
    <row r="245" spans="1:15" x14ac:dyDescent="0.25">
      <c r="A245" s="3">
        <v>4117297</v>
      </c>
      <c r="B245" s="3" t="s">
        <v>129</v>
      </c>
      <c r="C245" s="6">
        <v>14939</v>
      </c>
      <c r="D245">
        <v>1126993</v>
      </c>
      <c r="E245" s="6">
        <v>371</v>
      </c>
      <c r="F245" s="6">
        <v>139</v>
      </c>
      <c r="G245" s="6">
        <v>394</v>
      </c>
      <c r="H245" s="7">
        <v>0</v>
      </c>
      <c r="I245" s="7">
        <v>70</v>
      </c>
      <c r="J245" s="7">
        <f t="shared" si="6"/>
        <v>1142906</v>
      </c>
      <c r="K245" s="5">
        <v>220201827.31</v>
      </c>
      <c r="L245" s="9">
        <v>83118</v>
      </c>
      <c r="N245" s="4" t="s">
        <v>657</v>
      </c>
      <c r="O245">
        <f t="shared" si="7"/>
        <v>1126993</v>
      </c>
    </row>
    <row r="246" spans="1:15" x14ac:dyDescent="0.25">
      <c r="A246" s="3">
        <v>4117305</v>
      </c>
      <c r="B246" s="3" t="s">
        <v>360</v>
      </c>
      <c r="C246" s="6">
        <v>140912</v>
      </c>
      <c r="D246">
        <v>200500</v>
      </c>
      <c r="E246" s="6">
        <v>4477</v>
      </c>
      <c r="F246" s="6">
        <v>3977</v>
      </c>
      <c r="G246" s="6">
        <v>4111</v>
      </c>
      <c r="H246" s="7">
        <v>611</v>
      </c>
      <c r="I246" s="7">
        <v>505</v>
      </c>
      <c r="J246" s="7">
        <f t="shared" si="6"/>
        <v>355093</v>
      </c>
      <c r="K246" s="5">
        <v>812048152.82000005</v>
      </c>
      <c r="L246" s="9">
        <v>2718482</v>
      </c>
      <c r="N246" s="4" t="s">
        <v>658</v>
      </c>
      <c r="O246">
        <f t="shared" si="7"/>
        <v>200500</v>
      </c>
    </row>
    <row r="247" spans="1:15" x14ac:dyDescent="0.25">
      <c r="A247" s="3">
        <v>4117404</v>
      </c>
      <c r="B247" s="3" t="s">
        <v>304</v>
      </c>
      <c r="C247" s="6">
        <v>431</v>
      </c>
      <c r="D247">
        <v>412136</v>
      </c>
      <c r="E247" s="6">
        <v>134</v>
      </c>
      <c r="F247" s="6">
        <v>426</v>
      </c>
      <c r="G247" s="6">
        <v>68</v>
      </c>
      <c r="H247" s="7">
        <v>4</v>
      </c>
      <c r="I247" s="7">
        <v>17</v>
      </c>
      <c r="J247" s="7">
        <f t="shared" si="6"/>
        <v>413216</v>
      </c>
      <c r="K247" s="5">
        <v>174035668.53</v>
      </c>
      <c r="L247" s="9">
        <v>149989</v>
      </c>
      <c r="N247" s="4" t="s">
        <v>659</v>
      </c>
      <c r="O247">
        <f t="shared" si="7"/>
        <v>412136</v>
      </c>
    </row>
    <row r="248" spans="1:15" x14ac:dyDescent="0.25">
      <c r="A248" s="3">
        <v>4117453</v>
      </c>
      <c r="B248" s="3" t="s">
        <v>378</v>
      </c>
      <c r="C248" s="6">
        <v>21196</v>
      </c>
      <c r="D248">
        <v>1500000</v>
      </c>
      <c r="E248" s="6">
        <v>555</v>
      </c>
      <c r="F248" s="6">
        <v>74064</v>
      </c>
      <c r="G248" s="6">
        <v>427</v>
      </c>
      <c r="H248" s="7">
        <v>81</v>
      </c>
      <c r="I248" s="7">
        <v>39</v>
      </c>
      <c r="J248" s="7">
        <f t="shared" si="6"/>
        <v>1596362</v>
      </c>
      <c r="K248" s="5">
        <v>707485436.34000003</v>
      </c>
      <c r="L248" s="9">
        <v>263741</v>
      </c>
      <c r="N248" s="4" t="s">
        <v>615</v>
      </c>
      <c r="O248">
        <f t="shared" si="7"/>
        <v>1500000</v>
      </c>
    </row>
    <row r="249" spans="1:15" x14ac:dyDescent="0.25">
      <c r="A249" s="3">
        <v>4117503</v>
      </c>
      <c r="B249" s="3" t="s">
        <v>311</v>
      </c>
      <c r="C249" s="6">
        <v>1496</v>
      </c>
      <c r="D249">
        <v>176797</v>
      </c>
      <c r="E249" s="6">
        <v>365</v>
      </c>
      <c r="F249" s="6">
        <v>468</v>
      </c>
      <c r="G249" s="6">
        <v>96</v>
      </c>
      <c r="H249" s="7">
        <v>96</v>
      </c>
      <c r="I249" s="7">
        <v>6</v>
      </c>
      <c r="J249" s="7">
        <f t="shared" si="6"/>
        <v>179324</v>
      </c>
      <c r="K249" s="5">
        <v>177481573.38999999</v>
      </c>
      <c r="L249" s="9">
        <v>989272</v>
      </c>
      <c r="N249" s="4" t="s">
        <v>660</v>
      </c>
      <c r="O249">
        <f t="shared" si="7"/>
        <v>176797</v>
      </c>
    </row>
    <row r="250" spans="1:15" x14ac:dyDescent="0.25">
      <c r="A250" s="3">
        <v>4117602</v>
      </c>
      <c r="B250" s="3" t="s">
        <v>97</v>
      </c>
      <c r="C250" s="6">
        <v>29790</v>
      </c>
      <c r="D250">
        <v>155397</v>
      </c>
      <c r="E250" s="6">
        <v>6854</v>
      </c>
      <c r="F250" s="6">
        <v>1128</v>
      </c>
      <c r="G250" s="6">
        <v>1520</v>
      </c>
      <c r="H250" s="7">
        <v>266</v>
      </c>
      <c r="I250" s="7">
        <v>37</v>
      </c>
      <c r="J250" s="7">
        <f t="shared" si="6"/>
        <v>194992</v>
      </c>
      <c r="K250" s="5">
        <v>600917417.75</v>
      </c>
      <c r="L250" s="9">
        <v>1372516</v>
      </c>
      <c r="N250" s="4" t="s">
        <v>661</v>
      </c>
      <c r="O250">
        <f t="shared" si="7"/>
        <v>155397</v>
      </c>
    </row>
    <row r="251" spans="1:15" x14ac:dyDescent="0.25">
      <c r="A251" s="3">
        <v>4117701</v>
      </c>
      <c r="B251" s="3" t="s">
        <v>105</v>
      </c>
      <c r="C251" s="6">
        <v>27923</v>
      </c>
      <c r="D251">
        <v>2000000</v>
      </c>
      <c r="E251" s="6">
        <v>3794</v>
      </c>
      <c r="F251" s="6">
        <v>26696</v>
      </c>
      <c r="G251" s="6">
        <v>1574</v>
      </c>
      <c r="H251" s="7">
        <v>261</v>
      </c>
      <c r="I251" s="7">
        <v>44</v>
      </c>
      <c r="J251" s="7">
        <f t="shared" si="6"/>
        <v>2060292</v>
      </c>
      <c r="K251" s="5">
        <v>1318873563.48</v>
      </c>
      <c r="L251" s="9">
        <v>1535330</v>
      </c>
      <c r="N251" s="4" t="s">
        <v>662</v>
      </c>
      <c r="O251">
        <f t="shared" si="7"/>
        <v>2000000</v>
      </c>
    </row>
    <row r="252" spans="1:15" x14ac:dyDescent="0.25">
      <c r="A252" s="3">
        <v>4117800</v>
      </c>
      <c r="B252" s="3" t="s">
        <v>101</v>
      </c>
      <c r="C252" s="6">
        <v>108362</v>
      </c>
      <c r="D252">
        <v>61500</v>
      </c>
      <c r="E252" s="6">
        <v>3134</v>
      </c>
      <c r="F252" s="6">
        <v>5045</v>
      </c>
      <c r="G252" s="6">
        <v>2247</v>
      </c>
      <c r="H252" s="7">
        <v>501</v>
      </c>
      <c r="I252" s="7">
        <v>196</v>
      </c>
      <c r="J252" s="7">
        <f t="shared" si="6"/>
        <v>180985</v>
      </c>
      <c r="K252" s="5">
        <v>366888154.35000002</v>
      </c>
      <c r="L252" s="9">
        <v>293521</v>
      </c>
      <c r="N252" s="4" t="s">
        <v>663</v>
      </c>
      <c r="O252">
        <f t="shared" si="7"/>
        <v>61500</v>
      </c>
    </row>
    <row r="253" spans="1:15" x14ac:dyDescent="0.25">
      <c r="A253" s="3">
        <v>4117909</v>
      </c>
      <c r="B253" s="3" t="s">
        <v>113</v>
      </c>
      <c r="C253" s="6">
        <v>7200</v>
      </c>
      <c r="D253">
        <v>7101029</v>
      </c>
      <c r="E253" s="6">
        <v>1838</v>
      </c>
      <c r="F253" s="6">
        <v>94667</v>
      </c>
      <c r="G253" s="6">
        <v>139</v>
      </c>
      <c r="H253" s="7">
        <v>313</v>
      </c>
      <c r="I253" s="7">
        <v>0</v>
      </c>
      <c r="J253" s="7">
        <f t="shared" si="6"/>
        <v>7205186</v>
      </c>
      <c r="K253" s="5">
        <v>1627676032.28</v>
      </c>
      <c r="L253" s="9">
        <v>2675646</v>
      </c>
      <c r="N253" s="4" t="s">
        <v>664</v>
      </c>
      <c r="O253">
        <f t="shared" si="7"/>
        <v>7101029</v>
      </c>
    </row>
    <row r="254" spans="1:15" x14ac:dyDescent="0.25">
      <c r="A254" s="3">
        <v>4118006</v>
      </c>
      <c r="B254" s="3" t="s">
        <v>88</v>
      </c>
      <c r="C254" s="6">
        <v>6628</v>
      </c>
      <c r="D254">
        <v>8000</v>
      </c>
      <c r="E254" s="6">
        <v>316</v>
      </c>
      <c r="F254" s="6">
        <v>353</v>
      </c>
      <c r="G254" s="6">
        <v>228</v>
      </c>
      <c r="H254" s="7">
        <v>5</v>
      </c>
      <c r="I254" s="7">
        <v>33</v>
      </c>
      <c r="J254" s="7">
        <f t="shared" si="6"/>
        <v>15563</v>
      </c>
      <c r="K254" s="5">
        <v>138381035.83000001</v>
      </c>
      <c r="L254" s="9">
        <v>377960</v>
      </c>
      <c r="N254" s="4" t="s">
        <v>665</v>
      </c>
      <c r="O254">
        <f t="shared" si="7"/>
        <v>8000</v>
      </c>
    </row>
    <row r="255" spans="1:15" x14ac:dyDescent="0.25">
      <c r="A255" s="3">
        <v>4118105</v>
      </c>
      <c r="B255" s="3" t="s">
        <v>89</v>
      </c>
      <c r="C255" s="6">
        <v>5877</v>
      </c>
      <c r="D255">
        <v>240367</v>
      </c>
      <c r="E255" s="6">
        <v>306</v>
      </c>
      <c r="F255" s="6">
        <v>165</v>
      </c>
      <c r="G255" s="6">
        <v>184</v>
      </c>
      <c r="H255" s="7">
        <v>0</v>
      </c>
      <c r="I255" s="7">
        <v>17</v>
      </c>
      <c r="J255" s="7">
        <f t="shared" si="6"/>
        <v>246916</v>
      </c>
      <c r="K255" s="5">
        <v>195690971.11000001</v>
      </c>
      <c r="L255" s="9">
        <v>307631</v>
      </c>
      <c r="N255" s="4" t="s">
        <v>666</v>
      </c>
      <c r="O255">
        <f t="shared" si="7"/>
        <v>240367</v>
      </c>
    </row>
    <row r="256" spans="1:15" x14ac:dyDescent="0.25">
      <c r="A256" s="3">
        <v>4118204</v>
      </c>
      <c r="B256" s="3" t="s">
        <v>83</v>
      </c>
      <c r="C256" s="6">
        <v>694</v>
      </c>
      <c r="D256">
        <v>7221</v>
      </c>
      <c r="E256" s="6">
        <v>210</v>
      </c>
      <c r="F256" s="6">
        <v>491</v>
      </c>
      <c r="G256" s="6">
        <v>146</v>
      </c>
      <c r="H256" s="7">
        <v>54</v>
      </c>
      <c r="I256" s="7">
        <v>4</v>
      </c>
      <c r="J256" s="7">
        <f t="shared" si="6"/>
        <v>8820</v>
      </c>
      <c r="K256" s="5">
        <v>33924198.979999997</v>
      </c>
      <c r="L256" s="9">
        <v>12092727</v>
      </c>
      <c r="N256" s="4" t="s">
        <v>667</v>
      </c>
      <c r="O256">
        <f t="shared" si="7"/>
        <v>7221</v>
      </c>
    </row>
    <row r="257" spans="1:15" x14ac:dyDescent="0.25">
      <c r="A257" s="3">
        <v>4118303</v>
      </c>
      <c r="B257" s="3" t="s">
        <v>335</v>
      </c>
      <c r="C257" s="6">
        <v>12028</v>
      </c>
      <c r="D257">
        <v>600</v>
      </c>
      <c r="E257" s="6">
        <v>163</v>
      </c>
      <c r="F257" s="6">
        <v>14</v>
      </c>
      <c r="G257" s="6">
        <v>162</v>
      </c>
      <c r="H257" s="7">
        <v>0</v>
      </c>
      <c r="I257" s="7">
        <v>21</v>
      </c>
      <c r="J257" s="7">
        <f t="shared" si="6"/>
        <v>12988</v>
      </c>
      <c r="K257" s="5">
        <v>81432701.219999999</v>
      </c>
      <c r="L257" s="9">
        <v>77622</v>
      </c>
      <c r="N257" s="4" t="s">
        <v>416</v>
      </c>
      <c r="O257">
        <f t="shared" si="7"/>
        <v>600</v>
      </c>
    </row>
    <row r="258" spans="1:15" x14ac:dyDescent="0.25">
      <c r="A258" s="3">
        <v>4118402</v>
      </c>
      <c r="B258" s="3" t="s">
        <v>86</v>
      </c>
      <c r="C258" s="6">
        <v>122087</v>
      </c>
      <c r="D258">
        <v>1656098</v>
      </c>
      <c r="E258" s="6">
        <v>1895</v>
      </c>
      <c r="F258" s="6">
        <v>34103</v>
      </c>
      <c r="G258" s="6">
        <v>1601</v>
      </c>
      <c r="H258" s="7">
        <v>27</v>
      </c>
      <c r="I258" s="7">
        <v>184</v>
      </c>
      <c r="J258" s="7">
        <f t="shared" si="6"/>
        <v>1815995</v>
      </c>
      <c r="K258" s="5">
        <v>1011101814.5700001</v>
      </c>
      <c r="L258" s="9">
        <v>2748738</v>
      </c>
      <c r="N258" s="4" t="s">
        <v>668</v>
      </c>
      <c r="O258">
        <f t="shared" si="7"/>
        <v>1656098</v>
      </c>
    </row>
    <row r="259" spans="1:15" x14ac:dyDescent="0.25">
      <c r="A259" s="3">
        <v>4118451</v>
      </c>
      <c r="B259" s="3" t="s">
        <v>373</v>
      </c>
      <c r="C259" s="6">
        <v>7097</v>
      </c>
      <c r="D259">
        <v>1646800</v>
      </c>
      <c r="E259" s="6">
        <v>352</v>
      </c>
      <c r="F259" s="6">
        <v>103802</v>
      </c>
      <c r="G259" s="6">
        <v>127</v>
      </c>
      <c r="H259" s="7">
        <v>59</v>
      </c>
      <c r="I259" s="7">
        <v>2</v>
      </c>
      <c r="J259" s="7">
        <f t="shared" ref="J259:J322" si="8">SUM(C259+D259+E259+F259+G259+H259+I259)</f>
        <v>1758239</v>
      </c>
      <c r="K259" s="5">
        <v>581445047.11000001</v>
      </c>
      <c r="L259" s="9">
        <v>218834</v>
      </c>
      <c r="N259" s="4" t="s">
        <v>669</v>
      </c>
      <c r="O259">
        <f t="shared" ref="O259:O322" si="9">N259*1</f>
        <v>1646800</v>
      </c>
    </row>
    <row r="260" spans="1:15" x14ac:dyDescent="0.25">
      <c r="A260" s="3">
        <v>4118501</v>
      </c>
      <c r="B260" s="3" t="s">
        <v>94</v>
      </c>
      <c r="C260" s="6">
        <v>17229</v>
      </c>
      <c r="D260">
        <v>2819292</v>
      </c>
      <c r="E260" s="6">
        <v>2770</v>
      </c>
      <c r="F260" s="6">
        <v>1621</v>
      </c>
      <c r="G260" s="6">
        <v>716</v>
      </c>
      <c r="H260" s="7">
        <v>207</v>
      </c>
      <c r="I260" s="7">
        <v>25</v>
      </c>
      <c r="J260" s="7">
        <f t="shared" si="8"/>
        <v>2841860</v>
      </c>
      <c r="K260" s="5">
        <v>929844663.27999997</v>
      </c>
      <c r="L260" s="9">
        <v>4168114</v>
      </c>
      <c r="N260" s="4" t="s">
        <v>670</v>
      </c>
      <c r="O260">
        <f t="shared" si="9"/>
        <v>2819292</v>
      </c>
    </row>
    <row r="261" spans="1:15" x14ac:dyDescent="0.25">
      <c r="A261" s="3">
        <v>4118600</v>
      </c>
      <c r="B261" s="3" t="s">
        <v>396</v>
      </c>
      <c r="C261" s="6">
        <v>4268</v>
      </c>
      <c r="D261">
        <v>25500</v>
      </c>
      <c r="E261" s="6">
        <v>1011</v>
      </c>
      <c r="F261" s="6">
        <v>2200</v>
      </c>
      <c r="G261" s="6">
        <v>305</v>
      </c>
      <c r="H261" s="7">
        <v>20</v>
      </c>
      <c r="I261" s="7">
        <v>21</v>
      </c>
      <c r="J261" s="7">
        <f t="shared" si="8"/>
        <v>33325</v>
      </c>
      <c r="K261" s="5">
        <v>436393312.92000002</v>
      </c>
      <c r="L261" s="9">
        <v>356163</v>
      </c>
      <c r="N261" s="4" t="s">
        <v>671</v>
      </c>
      <c r="O261">
        <f t="shared" si="9"/>
        <v>25500</v>
      </c>
    </row>
    <row r="262" spans="1:15" x14ac:dyDescent="0.25">
      <c r="A262" s="3">
        <v>4118709</v>
      </c>
      <c r="B262" s="3" t="s">
        <v>397</v>
      </c>
      <c r="C262" s="6">
        <v>3439</v>
      </c>
      <c r="D262">
        <v>35000</v>
      </c>
      <c r="E262" s="6">
        <v>498</v>
      </c>
      <c r="F262" s="6">
        <v>7386</v>
      </c>
      <c r="G262" s="6">
        <v>176</v>
      </c>
      <c r="H262" s="7">
        <v>24</v>
      </c>
      <c r="I262" s="7">
        <v>10</v>
      </c>
      <c r="J262" s="7">
        <f t="shared" si="8"/>
        <v>46533</v>
      </c>
      <c r="K262" s="5">
        <v>424887171.47000003</v>
      </c>
      <c r="L262" s="9">
        <v>384262</v>
      </c>
      <c r="N262" s="4" t="s">
        <v>410</v>
      </c>
      <c r="O262">
        <f t="shared" si="9"/>
        <v>35000</v>
      </c>
    </row>
    <row r="263" spans="1:15" x14ac:dyDescent="0.25">
      <c r="A263" s="3">
        <v>4118808</v>
      </c>
      <c r="B263" s="3" t="s">
        <v>144</v>
      </c>
      <c r="C263" s="6">
        <v>12093</v>
      </c>
      <c r="D263">
        <v>717880</v>
      </c>
      <c r="E263" s="6">
        <v>369</v>
      </c>
      <c r="F263" s="6">
        <v>722</v>
      </c>
      <c r="G263" s="6">
        <v>389</v>
      </c>
      <c r="H263" s="7">
        <v>25</v>
      </c>
      <c r="I263" s="7">
        <v>36</v>
      </c>
      <c r="J263" s="7">
        <f t="shared" si="8"/>
        <v>731514</v>
      </c>
      <c r="K263" s="5">
        <v>399929846.62</v>
      </c>
      <c r="L263" s="9">
        <v>424472</v>
      </c>
      <c r="N263" s="4" t="s">
        <v>672</v>
      </c>
      <c r="O263">
        <f t="shared" si="9"/>
        <v>717880</v>
      </c>
    </row>
    <row r="264" spans="1:15" x14ac:dyDescent="0.25">
      <c r="A264" s="3">
        <v>4118857</v>
      </c>
      <c r="B264" s="3" t="s">
        <v>391</v>
      </c>
      <c r="C264" s="6">
        <v>25816</v>
      </c>
      <c r="D264">
        <v>880000</v>
      </c>
      <c r="E264" s="6">
        <v>521</v>
      </c>
      <c r="F264" s="6">
        <v>625</v>
      </c>
      <c r="G264" s="6">
        <v>1041</v>
      </c>
      <c r="H264" s="7">
        <v>5</v>
      </c>
      <c r="I264" s="7">
        <v>32</v>
      </c>
      <c r="J264" s="7">
        <f t="shared" si="8"/>
        <v>908040</v>
      </c>
      <c r="K264" s="5">
        <v>268616459.14999998</v>
      </c>
      <c r="L264" s="9">
        <v>248778</v>
      </c>
      <c r="N264" s="4" t="s">
        <v>673</v>
      </c>
      <c r="O264">
        <f t="shared" si="9"/>
        <v>880000</v>
      </c>
    </row>
    <row r="265" spans="1:15" x14ac:dyDescent="0.25">
      <c r="A265" s="3">
        <v>4118907</v>
      </c>
      <c r="B265" s="3" t="s">
        <v>121</v>
      </c>
      <c r="C265" s="6">
        <v>44001</v>
      </c>
      <c r="D265">
        <v>1000000</v>
      </c>
      <c r="E265" s="6">
        <v>379</v>
      </c>
      <c r="F265" s="6">
        <v>541</v>
      </c>
      <c r="G265" s="6">
        <v>337</v>
      </c>
      <c r="H265" s="7">
        <v>11</v>
      </c>
      <c r="I265" s="7">
        <v>21</v>
      </c>
      <c r="J265" s="7">
        <f t="shared" si="8"/>
        <v>1045290</v>
      </c>
      <c r="K265" s="5">
        <v>234200880.40000001</v>
      </c>
      <c r="L265" s="9">
        <v>399147</v>
      </c>
      <c r="N265" s="4" t="s">
        <v>497</v>
      </c>
      <c r="O265">
        <f t="shared" si="9"/>
        <v>1000000</v>
      </c>
    </row>
    <row r="266" spans="1:15" x14ac:dyDescent="0.25">
      <c r="A266" s="3">
        <v>4119004</v>
      </c>
      <c r="B266" s="3" t="s">
        <v>234</v>
      </c>
      <c r="C266" s="6">
        <v>8096</v>
      </c>
      <c r="D266">
        <v>764716</v>
      </c>
      <c r="E266" s="6">
        <v>400</v>
      </c>
      <c r="F266" s="6">
        <v>966</v>
      </c>
      <c r="G266" s="6">
        <v>35</v>
      </c>
      <c r="H266" s="7">
        <v>37</v>
      </c>
      <c r="I266" s="7">
        <v>0</v>
      </c>
      <c r="J266" s="7">
        <f t="shared" si="8"/>
        <v>774250</v>
      </c>
      <c r="K266" s="5">
        <v>244499722.63</v>
      </c>
      <c r="L266" s="9">
        <v>215522</v>
      </c>
      <c r="N266" s="4" t="s">
        <v>674</v>
      </c>
      <c r="O266">
        <f t="shared" si="9"/>
        <v>764716</v>
      </c>
    </row>
    <row r="267" spans="1:15" x14ac:dyDescent="0.25">
      <c r="A267" s="3">
        <v>4119103</v>
      </c>
      <c r="B267" s="3" t="s">
        <v>214</v>
      </c>
      <c r="C267" s="6">
        <v>2066</v>
      </c>
      <c r="D267">
        <v>600000</v>
      </c>
      <c r="E267" s="6">
        <v>647</v>
      </c>
      <c r="F267" s="6">
        <v>760</v>
      </c>
      <c r="G267" s="6">
        <v>498</v>
      </c>
      <c r="H267" s="7">
        <v>96</v>
      </c>
      <c r="I267" s="7">
        <v>2</v>
      </c>
      <c r="J267" s="7">
        <f t="shared" si="8"/>
        <v>604069</v>
      </c>
      <c r="K267" s="5">
        <v>220905543.47</v>
      </c>
      <c r="L267" s="9">
        <v>722269</v>
      </c>
      <c r="N267" s="4" t="s">
        <v>675</v>
      </c>
      <c r="O267">
        <f t="shared" si="9"/>
        <v>600000</v>
      </c>
    </row>
    <row r="268" spans="1:15" x14ac:dyDescent="0.25">
      <c r="A268" s="3">
        <v>4119152</v>
      </c>
      <c r="B268" s="3" t="s">
        <v>204</v>
      </c>
      <c r="C268" s="6">
        <v>356</v>
      </c>
      <c r="D268">
        <v>9900</v>
      </c>
      <c r="E268" s="6">
        <v>140</v>
      </c>
      <c r="F268" s="6">
        <v>164</v>
      </c>
      <c r="G268" s="6">
        <v>122</v>
      </c>
      <c r="H268" s="7">
        <v>13</v>
      </c>
      <c r="I268" s="7">
        <v>4</v>
      </c>
      <c r="J268" s="7">
        <f t="shared" si="8"/>
        <v>10699</v>
      </c>
      <c r="K268" s="5">
        <v>3548562.98</v>
      </c>
      <c r="L268" s="9">
        <v>6369866</v>
      </c>
      <c r="N268" s="4" t="s">
        <v>676</v>
      </c>
      <c r="O268">
        <f t="shared" si="9"/>
        <v>9900</v>
      </c>
    </row>
    <row r="269" spans="1:15" x14ac:dyDescent="0.25">
      <c r="A269" s="3">
        <v>4119251</v>
      </c>
      <c r="B269" s="3" t="s">
        <v>235</v>
      </c>
      <c r="C269" s="6">
        <v>11341</v>
      </c>
      <c r="D269">
        <v>108987</v>
      </c>
      <c r="E269" s="6">
        <v>551</v>
      </c>
      <c r="F269" s="6">
        <v>972</v>
      </c>
      <c r="G269" s="6">
        <v>102</v>
      </c>
      <c r="H269" s="7">
        <v>33</v>
      </c>
      <c r="I269" s="7">
        <v>1</v>
      </c>
      <c r="J269" s="7">
        <f t="shared" si="8"/>
        <v>121987</v>
      </c>
      <c r="K269" s="5">
        <v>140968336.63999999</v>
      </c>
      <c r="L269" s="9">
        <v>68040</v>
      </c>
      <c r="N269" s="4" t="s">
        <v>677</v>
      </c>
      <c r="O269">
        <f t="shared" si="9"/>
        <v>108987</v>
      </c>
    </row>
    <row r="270" spans="1:15" x14ac:dyDescent="0.25">
      <c r="A270" s="3">
        <v>4119202</v>
      </c>
      <c r="B270" s="3" t="s">
        <v>263</v>
      </c>
      <c r="C270" s="6">
        <v>7352</v>
      </c>
      <c r="D270">
        <v>900000</v>
      </c>
      <c r="E270" s="6">
        <v>266</v>
      </c>
      <c r="F270" s="6">
        <v>24</v>
      </c>
      <c r="G270" s="6">
        <v>166</v>
      </c>
      <c r="H270" s="7">
        <v>134</v>
      </c>
      <c r="I270" s="7">
        <v>39</v>
      </c>
      <c r="J270" s="7">
        <f t="shared" si="8"/>
        <v>907981</v>
      </c>
      <c r="K270" s="5">
        <v>379970796.98000002</v>
      </c>
      <c r="L270" s="9">
        <v>188079</v>
      </c>
      <c r="N270" s="4" t="s">
        <v>678</v>
      </c>
      <c r="O270">
        <f t="shared" si="9"/>
        <v>900000</v>
      </c>
    </row>
    <row r="271" spans="1:15" x14ac:dyDescent="0.25">
      <c r="A271" s="3">
        <v>4119301</v>
      </c>
      <c r="B271" s="3" t="s">
        <v>49</v>
      </c>
      <c r="C271" s="6">
        <v>65682</v>
      </c>
      <c r="D271">
        <v>103300</v>
      </c>
      <c r="E271" s="6">
        <v>5583</v>
      </c>
      <c r="F271" s="6">
        <v>18003</v>
      </c>
      <c r="G271" s="6">
        <v>2537</v>
      </c>
      <c r="H271" s="7">
        <v>391</v>
      </c>
      <c r="I271" s="7">
        <v>258</v>
      </c>
      <c r="J271" s="7">
        <f t="shared" si="8"/>
        <v>195754</v>
      </c>
      <c r="K271" s="5">
        <v>1030672292.65</v>
      </c>
      <c r="L271" s="9">
        <v>1563743</v>
      </c>
      <c r="N271" s="4" t="s">
        <v>679</v>
      </c>
      <c r="O271">
        <f t="shared" si="9"/>
        <v>103300</v>
      </c>
    </row>
    <row r="272" spans="1:15" x14ac:dyDescent="0.25">
      <c r="A272" s="3">
        <v>4119400</v>
      </c>
      <c r="B272" s="3" t="s">
        <v>358</v>
      </c>
      <c r="C272" s="6">
        <v>28640</v>
      </c>
      <c r="D272">
        <v>3207708</v>
      </c>
      <c r="E272" s="6">
        <v>2882</v>
      </c>
      <c r="F272" s="6">
        <v>179091</v>
      </c>
      <c r="G272" s="6">
        <v>1019</v>
      </c>
      <c r="H272" s="7">
        <v>174</v>
      </c>
      <c r="I272" s="7">
        <v>58</v>
      </c>
      <c r="J272" s="7">
        <f t="shared" si="8"/>
        <v>3419572</v>
      </c>
      <c r="K272" s="5">
        <v>1537363051.5799999</v>
      </c>
      <c r="L272" s="9">
        <v>1079186</v>
      </c>
      <c r="N272" s="4" t="s">
        <v>680</v>
      </c>
      <c r="O272">
        <f t="shared" si="9"/>
        <v>3207708</v>
      </c>
    </row>
    <row r="273" spans="1:15" x14ac:dyDescent="0.25">
      <c r="A273" s="3">
        <v>4119509</v>
      </c>
      <c r="B273" s="3" t="s">
        <v>205</v>
      </c>
      <c r="C273" s="6">
        <v>1931</v>
      </c>
      <c r="D273">
        <v>6200</v>
      </c>
      <c r="E273" s="6">
        <v>863</v>
      </c>
      <c r="F273" s="6">
        <v>343</v>
      </c>
      <c r="G273" s="6">
        <v>1636</v>
      </c>
      <c r="H273" s="7">
        <v>75</v>
      </c>
      <c r="I273" s="7">
        <v>18</v>
      </c>
      <c r="J273" s="7">
        <f t="shared" si="8"/>
        <v>11066</v>
      </c>
      <c r="K273" s="5">
        <v>28355335.449999999</v>
      </c>
      <c r="L273" s="9">
        <v>1397402</v>
      </c>
      <c r="N273" s="4" t="s">
        <v>415</v>
      </c>
      <c r="O273">
        <f t="shared" si="9"/>
        <v>6200</v>
      </c>
    </row>
    <row r="274" spans="1:15" x14ac:dyDescent="0.25">
      <c r="A274" s="3">
        <v>4119608</v>
      </c>
      <c r="B274" s="3" t="s">
        <v>99</v>
      </c>
      <c r="C274" s="6">
        <v>81470</v>
      </c>
      <c r="D274">
        <v>37500</v>
      </c>
      <c r="E274" s="6">
        <v>3619</v>
      </c>
      <c r="F274" s="6">
        <v>26660</v>
      </c>
      <c r="G274" s="6">
        <v>1617</v>
      </c>
      <c r="H274" s="7">
        <v>794</v>
      </c>
      <c r="I274" s="7">
        <v>106</v>
      </c>
      <c r="J274" s="7">
        <f t="shared" si="8"/>
        <v>151766</v>
      </c>
      <c r="K274" s="5">
        <v>976781971.54999995</v>
      </c>
      <c r="L274" s="9">
        <v>1094113</v>
      </c>
      <c r="N274" s="4" t="s">
        <v>681</v>
      </c>
      <c r="O274">
        <f t="shared" si="9"/>
        <v>37500</v>
      </c>
    </row>
    <row r="275" spans="1:15" x14ac:dyDescent="0.25">
      <c r="A275" s="3">
        <v>4119657</v>
      </c>
      <c r="B275" s="3" t="s">
        <v>297</v>
      </c>
      <c r="C275" s="6">
        <v>1308</v>
      </c>
      <c r="D275">
        <v>690200</v>
      </c>
      <c r="E275" s="6">
        <v>28</v>
      </c>
      <c r="F275" s="6">
        <v>1689</v>
      </c>
      <c r="G275" s="6">
        <v>34</v>
      </c>
      <c r="H275" s="7">
        <v>0</v>
      </c>
      <c r="I275" s="7">
        <v>5</v>
      </c>
      <c r="J275" s="7">
        <f t="shared" si="8"/>
        <v>693264</v>
      </c>
      <c r="K275" s="5">
        <v>204078584.61000001</v>
      </c>
      <c r="L275" s="9">
        <v>130891</v>
      </c>
      <c r="N275" s="4" t="s">
        <v>682</v>
      </c>
      <c r="O275">
        <f t="shared" si="9"/>
        <v>690200</v>
      </c>
    </row>
    <row r="276" spans="1:15" x14ac:dyDescent="0.25">
      <c r="A276" s="3">
        <v>4119707</v>
      </c>
      <c r="B276" s="3" t="s">
        <v>321</v>
      </c>
      <c r="C276" s="6">
        <v>42653</v>
      </c>
      <c r="D276">
        <v>232546</v>
      </c>
      <c r="E276" s="6">
        <v>323</v>
      </c>
      <c r="F276" s="6">
        <v>158</v>
      </c>
      <c r="G276" s="6">
        <v>479</v>
      </c>
      <c r="H276" s="7">
        <v>0</v>
      </c>
      <c r="I276" s="7">
        <v>42</v>
      </c>
      <c r="J276" s="7">
        <f t="shared" si="8"/>
        <v>276201</v>
      </c>
      <c r="K276" s="5">
        <v>177947239.63999999</v>
      </c>
      <c r="L276" s="9">
        <v>100094</v>
      </c>
      <c r="N276" s="4" t="s">
        <v>683</v>
      </c>
      <c r="O276">
        <f t="shared" si="9"/>
        <v>232546</v>
      </c>
    </row>
    <row r="277" spans="1:15" x14ac:dyDescent="0.25">
      <c r="A277" s="3">
        <v>4119806</v>
      </c>
      <c r="B277" s="3" t="s">
        <v>38</v>
      </c>
      <c r="C277" s="6">
        <v>24176</v>
      </c>
      <c r="D277">
        <v>850703</v>
      </c>
      <c r="E277" s="6">
        <v>861</v>
      </c>
      <c r="F277" s="6">
        <v>4477</v>
      </c>
      <c r="G277" s="6">
        <v>308</v>
      </c>
      <c r="H277" s="7">
        <v>116</v>
      </c>
      <c r="I277" s="7">
        <v>6</v>
      </c>
      <c r="J277" s="7">
        <f t="shared" si="8"/>
        <v>880647</v>
      </c>
      <c r="K277" s="5">
        <v>469693710.58999997</v>
      </c>
      <c r="L277" s="9">
        <v>377778</v>
      </c>
      <c r="N277" s="4" t="s">
        <v>684</v>
      </c>
      <c r="O277">
        <f t="shared" si="9"/>
        <v>850703</v>
      </c>
    </row>
    <row r="278" spans="1:15" x14ac:dyDescent="0.25">
      <c r="A278" s="3">
        <v>4119905</v>
      </c>
      <c r="B278" s="3" t="s">
        <v>103</v>
      </c>
      <c r="C278" s="6">
        <v>28107</v>
      </c>
      <c r="D278">
        <v>900000</v>
      </c>
      <c r="E278" s="6">
        <v>4146</v>
      </c>
      <c r="F278" s="6">
        <v>23898</v>
      </c>
      <c r="G278" s="6">
        <v>3067</v>
      </c>
      <c r="H278" s="7">
        <v>303</v>
      </c>
      <c r="I278" s="7">
        <v>96</v>
      </c>
      <c r="J278" s="7">
        <f t="shared" si="8"/>
        <v>959617</v>
      </c>
      <c r="K278" s="5">
        <v>1106477732.6900001</v>
      </c>
      <c r="L278" s="9">
        <v>17276019</v>
      </c>
      <c r="N278" s="4" t="s">
        <v>678</v>
      </c>
      <c r="O278">
        <f t="shared" si="9"/>
        <v>900000</v>
      </c>
    </row>
    <row r="279" spans="1:15" x14ac:dyDescent="0.25">
      <c r="A279" s="3">
        <v>4119954</v>
      </c>
      <c r="B279" s="3" t="s">
        <v>320</v>
      </c>
      <c r="C279" s="6">
        <v>32</v>
      </c>
      <c r="D279">
        <v>2450</v>
      </c>
      <c r="E279" s="6">
        <v>8</v>
      </c>
      <c r="F279" s="6">
        <v>39</v>
      </c>
      <c r="G279" s="6">
        <v>60</v>
      </c>
      <c r="H279" s="7">
        <v>5</v>
      </c>
      <c r="I279" s="7">
        <v>0</v>
      </c>
      <c r="J279" s="7">
        <f t="shared" si="8"/>
        <v>2594</v>
      </c>
      <c r="K279" s="5">
        <v>19865880.73</v>
      </c>
      <c r="L279" s="9">
        <v>593806</v>
      </c>
      <c r="N279" s="4" t="s">
        <v>417</v>
      </c>
      <c r="O279">
        <f t="shared" si="9"/>
        <v>2450</v>
      </c>
    </row>
    <row r="280" spans="1:15" x14ac:dyDescent="0.25">
      <c r="A280" s="3">
        <v>4120002</v>
      </c>
      <c r="B280" s="3" t="s">
        <v>73</v>
      </c>
      <c r="C280" s="6">
        <v>2852</v>
      </c>
      <c r="D280">
        <v>127580</v>
      </c>
      <c r="E280" s="6">
        <v>127</v>
      </c>
      <c r="F280" s="6">
        <v>17</v>
      </c>
      <c r="G280" s="6">
        <v>91</v>
      </c>
      <c r="H280" s="7">
        <v>0</v>
      </c>
      <c r="I280" s="7">
        <v>19</v>
      </c>
      <c r="J280" s="7">
        <f t="shared" si="8"/>
        <v>130686</v>
      </c>
      <c r="K280" s="5">
        <v>119828055.93000001</v>
      </c>
      <c r="L280" s="9">
        <v>654726</v>
      </c>
      <c r="N280" s="4" t="s">
        <v>685</v>
      </c>
      <c r="O280">
        <f t="shared" si="9"/>
        <v>127580</v>
      </c>
    </row>
    <row r="281" spans="1:15" x14ac:dyDescent="0.25">
      <c r="A281" s="3">
        <v>4120101</v>
      </c>
      <c r="B281" s="3" t="s">
        <v>361</v>
      </c>
      <c r="C281" s="6">
        <v>4198</v>
      </c>
      <c r="D281">
        <v>1450</v>
      </c>
      <c r="E281" s="6">
        <v>372</v>
      </c>
      <c r="F281" s="6">
        <v>80</v>
      </c>
      <c r="G281" s="6">
        <v>638</v>
      </c>
      <c r="H281" s="7">
        <v>0</v>
      </c>
      <c r="I281" s="7">
        <v>14</v>
      </c>
      <c r="J281" s="7">
        <f t="shared" si="8"/>
        <v>6752</v>
      </c>
      <c r="K281" s="5">
        <v>134313160.11000001</v>
      </c>
      <c r="L281" s="9">
        <v>155265</v>
      </c>
      <c r="N281" s="4" t="s">
        <v>413</v>
      </c>
      <c r="O281">
        <f t="shared" si="9"/>
        <v>1450</v>
      </c>
    </row>
    <row r="282" spans="1:15" x14ac:dyDescent="0.25">
      <c r="A282" s="3">
        <v>4120150</v>
      </c>
      <c r="B282" s="3" t="s">
        <v>280</v>
      </c>
      <c r="C282" s="6">
        <v>30398</v>
      </c>
      <c r="D282">
        <v>16900</v>
      </c>
      <c r="E282" s="6">
        <v>792</v>
      </c>
      <c r="F282" s="6">
        <v>667</v>
      </c>
      <c r="G282" s="6">
        <v>340</v>
      </c>
      <c r="H282" s="7">
        <v>179</v>
      </c>
      <c r="I282" s="7">
        <v>25</v>
      </c>
      <c r="J282" s="7">
        <f t="shared" si="8"/>
        <v>49301</v>
      </c>
      <c r="K282" s="5">
        <v>276781878.19</v>
      </c>
      <c r="L282" s="9">
        <v>145792</v>
      </c>
      <c r="N282" s="4" t="s">
        <v>686</v>
      </c>
      <c r="O282">
        <f t="shared" si="9"/>
        <v>16900</v>
      </c>
    </row>
    <row r="283" spans="1:15" x14ac:dyDescent="0.25">
      <c r="A283" s="3">
        <v>4120200</v>
      </c>
      <c r="B283" s="3" t="s">
        <v>339</v>
      </c>
      <c r="C283" s="6">
        <v>23316</v>
      </c>
      <c r="D283">
        <v>415618</v>
      </c>
      <c r="E283" s="6">
        <v>402</v>
      </c>
      <c r="F283" s="6">
        <v>70</v>
      </c>
      <c r="G283" s="6">
        <v>331</v>
      </c>
      <c r="H283" s="7">
        <v>0</v>
      </c>
      <c r="I283" s="7">
        <v>28</v>
      </c>
      <c r="J283" s="7">
        <f t="shared" si="8"/>
        <v>439765</v>
      </c>
      <c r="K283" s="5">
        <v>97015445.659999996</v>
      </c>
      <c r="L283" s="9">
        <v>87181</v>
      </c>
      <c r="N283" s="4" t="s">
        <v>687</v>
      </c>
      <c r="O283">
        <f t="shared" si="9"/>
        <v>415618</v>
      </c>
    </row>
    <row r="284" spans="1:15" x14ac:dyDescent="0.25">
      <c r="A284" s="3">
        <v>4120309</v>
      </c>
      <c r="B284" s="3" t="s">
        <v>398</v>
      </c>
      <c r="C284" s="6">
        <v>5419</v>
      </c>
      <c r="D284">
        <v>15200</v>
      </c>
      <c r="E284" s="6">
        <v>1091</v>
      </c>
      <c r="F284" s="6">
        <v>2341</v>
      </c>
      <c r="G284" s="6">
        <v>275</v>
      </c>
      <c r="H284" s="7">
        <v>23</v>
      </c>
      <c r="I284" s="7">
        <v>9</v>
      </c>
      <c r="J284" s="7">
        <f t="shared" si="8"/>
        <v>24358</v>
      </c>
      <c r="K284" s="5">
        <v>164061158.90000001</v>
      </c>
      <c r="L284" s="9">
        <v>82505</v>
      </c>
      <c r="N284" s="4" t="s">
        <v>688</v>
      </c>
      <c r="O284">
        <f t="shared" si="9"/>
        <v>15200</v>
      </c>
    </row>
    <row r="285" spans="1:15" x14ac:dyDescent="0.25">
      <c r="A285" s="3">
        <v>4120333</v>
      </c>
      <c r="B285" s="3" t="s">
        <v>289</v>
      </c>
      <c r="C285" s="6">
        <v>1353</v>
      </c>
      <c r="D285">
        <v>316220</v>
      </c>
      <c r="E285" s="6">
        <v>106</v>
      </c>
      <c r="F285" s="6">
        <v>3</v>
      </c>
      <c r="G285" s="6">
        <v>33</v>
      </c>
      <c r="H285" s="7">
        <v>0</v>
      </c>
      <c r="I285" s="7">
        <v>7</v>
      </c>
      <c r="J285" s="7">
        <f t="shared" si="8"/>
        <v>317722</v>
      </c>
      <c r="K285" s="5">
        <v>142619665.96000001</v>
      </c>
      <c r="L285" s="9">
        <v>180178</v>
      </c>
      <c r="N285" s="4" t="s">
        <v>689</v>
      </c>
      <c r="O285">
        <f t="shared" si="9"/>
        <v>316220</v>
      </c>
    </row>
    <row r="286" spans="1:15" x14ac:dyDescent="0.25">
      <c r="A286" s="3">
        <v>4120358</v>
      </c>
      <c r="B286" s="3" t="s">
        <v>236</v>
      </c>
      <c r="C286" s="6">
        <v>5331</v>
      </c>
      <c r="D286">
        <v>1937600</v>
      </c>
      <c r="E286" s="6">
        <v>631</v>
      </c>
      <c r="F286" s="6">
        <v>1931</v>
      </c>
      <c r="G286" s="6">
        <v>105</v>
      </c>
      <c r="H286" s="7">
        <v>27</v>
      </c>
      <c r="I286" s="7">
        <v>1</v>
      </c>
      <c r="J286" s="7">
        <f t="shared" si="8"/>
        <v>1945626</v>
      </c>
      <c r="K286" s="5">
        <v>336146721.06999999</v>
      </c>
      <c r="L286" s="9">
        <v>274864</v>
      </c>
      <c r="N286" s="4" t="s">
        <v>690</v>
      </c>
      <c r="O286">
        <f t="shared" si="9"/>
        <v>1937600</v>
      </c>
    </row>
    <row r="287" spans="1:15" x14ac:dyDescent="0.25">
      <c r="A287" s="3">
        <v>4120408</v>
      </c>
      <c r="B287" s="3" t="s">
        <v>315</v>
      </c>
      <c r="C287" s="6">
        <v>3916</v>
      </c>
      <c r="D287">
        <v>1282681</v>
      </c>
      <c r="E287" s="6">
        <v>141</v>
      </c>
      <c r="F287" s="6">
        <v>169</v>
      </c>
      <c r="G287" s="6">
        <v>230</v>
      </c>
      <c r="H287" s="7">
        <v>17</v>
      </c>
      <c r="I287" s="7">
        <v>9</v>
      </c>
      <c r="J287" s="7">
        <f t="shared" si="8"/>
        <v>1287163</v>
      </c>
      <c r="K287" s="5">
        <v>230043813.52000001</v>
      </c>
      <c r="L287" s="9">
        <v>142996</v>
      </c>
      <c r="N287" s="4" t="s">
        <v>691</v>
      </c>
      <c r="O287">
        <f t="shared" si="9"/>
        <v>1282681</v>
      </c>
    </row>
    <row r="288" spans="1:15" x14ac:dyDescent="0.25">
      <c r="A288" s="3">
        <v>4120507</v>
      </c>
      <c r="B288" s="3" t="s">
        <v>282</v>
      </c>
      <c r="C288" s="6">
        <v>4243</v>
      </c>
      <c r="D288">
        <v>509690</v>
      </c>
      <c r="E288" s="6">
        <v>203</v>
      </c>
      <c r="F288" s="6">
        <v>573</v>
      </c>
      <c r="G288" s="6">
        <v>269</v>
      </c>
      <c r="H288" s="7">
        <v>7</v>
      </c>
      <c r="I288" s="7">
        <v>60</v>
      </c>
      <c r="J288" s="7">
        <f t="shared" si="8"/>
        <v>515045</v>
      </c>
      <c r="K288" s="5">
        <v>352390071.81</v>
      </c>
      <c r="L288" s="9">
        <v>370706</v>
      </c>
      <c r="N288" s="4" t="s">
        <v>692</v>
      </c>
      <c r="O288">
        <f t="shared" si="9"/>
        <v>509690</v>
      </c>
    </row>
    <row r="289" spans="1:15" x14ac:dyDescent="0.25">
      <c r="A289" s="3">
        <v>4120606</v>
      </c>
      <c r="B289" s="3" t="s">
        <v>50</v>
      </c>
      <c r="C289" s="6">
        <v>88650</v>
      </c>
      <c r="D289">
        <v>171300</v>
      </c>
      <c r="E289" s="6">
        <v>4753</v>
      </c>
      <c r="F289" s="6">
        <v>69985</v>
      </c>
      <c r="G289" s="6">
        <v>1897</v>
      </c>
      <c r="H289" s="7">
        <v>1043</v>
      </c>
      <c r="I289" s="7">
        <v>104</v>
      </c>
      <c r="J289" s="7">
        <f t="shared" si="8"/>
        <v>337732</v>
      </c>
      <c r="K289" s="5">
        <v>1353086374.0999999</v>
      </c>
      <c r="L289" s="9">
        <v>1435640</v>
      </c>
      <c r="N289" s="4" t="s">
        <v>693</v>
      </c>
      <c r="O289">
        <f t="shared" si="9"/>
        <v>171300</v>
      </c>
    </row>
    <row r="290" spans="1:15" x14ac:dyDescent="0.25">
      <c r="A290" s="3">
        <v>4120655</v>
      </c>
      <c r="B290" s="3" t="s">
        <v>149</v>
      </c>
      <c r="C290" s="6">
        <v>2581</v>
      </c>
      <c r="D290">
        <v>1978775</v>
      </c>
      <c r="E290" s="6">
        <v>219</v>
      </c>
      <c r="F290" s="6">
        <v>2747</v>
      </c>
      <c r="G290" s="6">
        <v>57</v>
      </c>
      <c r="H290" s="7">
        <v>5</v>
      </c>
      <c r="I290" s="7">
        <v>4</v>
      </c>
      <c r="J290" s="7">
        <f t="shared" si="8"/>
        <v>1984388</v>
      </c>
      <c r="K290" s="5">
        <v>506043729.31</v>
      </c>
      <c r="L290" s="9">
        <v>341565</v>
      </c>
      <c r="N290" s="4" t="s">
        <v>694</v>
      </c>
      <c r="O290">
        <f t="shared" si="9"/>
        <v>1978775</v>
      </c>
    </row>
    <row r="291" spans="1:15" x14ac:dyDescent="0.25">
      <c r="A291" s="3">
        <v>4120705</v>
      </c>
      <c r="B291" s="3" t="s">
        <v>268</v>
      </c>
      <c r="C291" s="6">
        <v>19119</v>
      </c>
      <c r="D291">
        <v>1384000</v>
      </c>
      <c r="E291" s="6">
        <v>201</v>
      </c>
      <c r="F291" s="6">
        <v>436</v>
      </c>
      <c r="G291" s="6">
        <v>199</v>
      </c>
      <c r="H291" s="7">
        <v>3</v>
      </c>
      <c r="I291" s="7">
        <v>31</v>
      </c>
      <c r="J291" s="7">
        <f t="shared" si="8"/>
        <v>1403989</v>
      </c>
      <c r="K291" s="5">
        <v>237338195.87</v>
      </c>
      <c r="L291" s="9">
        <v>197715</v>
      </c>
      <c r="N291" s="4" t="s">
        <v>695</v>
      </c>
      <c r="O291">
        <f t="shared" si="9"/>
        <v>1384000</v>
      </c>
    </row>
    <row r="292" spans="1:15" x14ac:dyDescent="0.25">
      <c r="A292" s="3">
        <v>4120804</v>
      </c>
      <c r="B292" s="3" t="s">
        <v>206</v>
      </c>
      <c r="C292" s="6">
        <v>508</v>
      </c>
      <c r="D292">
        <v>9200</v>
      </c>
      <c r="E292" s="6">
        <v>359</v>
      </c>
      <c r="F292" s="6">
        <v>90</v>
      </c>
      <c r="G292" s="6">
        <v>260</v>
      </c>
      <c r="H292" s="7">
        <v>21</v>
      </c>
      <c r="I292" s="7">
        <v>6</v>
      </c>
      <c r="J292" s="7">
        <f t="shared" si="8"/>
        <v>10444</v>
      </c>
      <c r="K292" s="5">
        <v>16373722.02</v>
      </c>
      <c r="L292" s="9">
        <v>1594928</v>
      </c>
      <c r="N292" s="4" t="s">
        <v>540</v>
      </c>
      <c r="O292">
        <f t="shared" si="9"/>
        <v>9200</v>
      </c>
    </row>
    <row r="293" spans="1:15" x14ac:dyDescent="0.25">
      <c r="A293" s="3">
        <v>4120853</v>
      </c>
      <c r="B293" s="3" t="s">
        <v>374</v>
      </c>
      <c r="C293" s="6">
        <v>7709</v>
      </c>
      <c r="D293">
        <v>947052</v>
      </c>
      <c r="E293" s="6">
        <v>607</v>
      </c>
      <c r="F293" s="6">
        <v>191488</v>
      </c>
      <c r="G293" s="6">
        <v>100</v>
      </c>
      <c r="H293" s="7">
        <v>30</v>
      </c>
      <c r="I293" s="7">
        <v>3</v>
      </c>
      <c r="J293" s="7">
        <f t="shared" si="8"/>
        <v>1146989</v>
      </c>
      <c r="K293" s="5">
        <v>577481507.78999996</v>
      </c>
      <c r="L293" s="9">
        <v>245452</v>
      </c>
      <c r="N293" s="4" t="s">
        <v>696</v>
      </c>
      <c r="O293">
        <f t="shared" si="9"/>
        <v>947052</v>
      </c>
    </row>
    <row r="294" spans="1:15" x14ac:dyDescent="0.25">
      <c r="A294" s="3">
        <v>4120903</v>
      </c>
      <c r="B294" s="3" t="s">
        <v>68</v>
      </c>
      <c r="C294" s="6">
        <v>49819</v>
      </c>
      <c r="D294">
        <v>1005700</v>
      </c>
      <c r="E294" s="6">
        <v>965</v>
      </c>
      <c r="F294" s="6">
        <v>5993</v>
      </c>
      <c r="G294" s="6">
        <v>405</v>
      </c>
      <c r="H294" s="7">
        <v>233</v>
      </c>
      <c r="I294" s="7">
        <v>8</v>
      </c>
      <c r="J294" s="7">
        <f t="shared" si="8"/>
        <v>1063123</v>
      </c>
      <c r="K294" s="5">
        <v>710660259.57000005</v>
      </c>
      <c r="L294" s="9">
        <v>1292090</v>
      </c>
      <c r="N294" s="4" t="s">
        <v>697</v>
      </c>
      <c r="O294">
        <f t="shared" si="9"/>
        <v>1005700</v>
      </c>
    </row>
    <row r="295" spans="1:15" x14ac:dyDescent="0.25">
      <c r="A295" s="3">
        <v>4121000</v>
      </c>
      <c r="B295" s="3" t="s">
        <v>90</v>
      </c>
      <c r="C295" s="6">
        <v>76559</v>
      </c>
      <c r="D295">
        <v>47100</v>
      </c>
      <c r="E295" s="6">
        <v>1348</v>
      </c>
      <c r="F295" s="6">
        <v>1281</v>
      </c>
      <c r="G295" s="6">
        <v>887</v>
      </c>
      <c r="H295" s="7">
        <v>42</v>
      </c>
      <c r="I295" s="7">
        <v>126</v>
      </c>
      <c r="J295" s="7">
        <f t="shared" si="8"/>
        <v>127343</v>
      </c>
      <c r="K295" s="5">
        <v>395797719.25999999</v>
      </c>
      <c r="L295" s="9">
        <v>256264</v>
      </c>
      <c r="N295" s="4" t="s">
        <v>698</v>
      </c>
      <c r="O295">
        <f t="shared" si="9"/>
        <v>47100</v>
      </c>
    </row>
    <row r="296" spans="1:15" x14ac:dyDescent="0.25">
      <c r="A296" s="3">
        <v>4121109</v>
      </c>
      <c r="B296" s="3" t="s">
        <v>145</v>
      </c>
      <c r="C296" s="6">
        <v>4361</v>
      </c>
      <c r="D296">
        <v>1118940</v>
      </c>
      <c r="E296" s="6">
        <v>259</v>
      </c>
      <c r="F296" s="6">
        <v>583</v>
      </c>
      <c r="G296" s="6">
        <v>238</v>
      </c>
      <c r="H296" s="7">
        <v>27</v>
      </c>
      <c r="I296" s="7">
        <v>17</v>
      </c>
      <c r="J296" s="7">
        <f t="shared" si="8"/>
        <v>1124425</v>
      </c>
      <c r="K296" s="5">
        <v>306422157.16000003</v>
      </c>
      <c r="L296" s="9">
        <v>243803</v>
      </c>
      <c r="N296" s="4" t="s">
        <v>699</v>
      </c>
      <c r="O296">
        <f t="shared" si="9"/>
        <v>1118940</v>
      </c>
    </row>
    <row r="297" spans="1:15" x14ac:dyDescent="0.25">
      <c r="A297" s="3">
        <v>4121208</v>
      </c>
      <c r="B297" s="3" t="s">
        <v>208</v>
      </c>
      <c r="C297" s="6">
        <v>2634</v>
      </c>
      <c r="D297">
        <v>480000</v>
      </c>
      <c r="E297" s="6">
        <v>990</v>
      </c>
      <c r="F297" s="6">
        <v>828</v>
      </c>
      <c r="G297" s="6">
        <v>470</v>
      </c>
      <c r="H297" s="7">
        <v>17</v>
      </c>
      <c r="I297" s="7">
        <v>8</v>
      </c>
      <c r="J297" s="7">
        <f t="shared" si="8"/>
        <v>484947</v>
      </c>
      <c r="K297" s="5">
        <v>328447221.07999998</v>
      </c>
      <c r="L297" s="9">
        <v>451208</v>
      </c>
      <c r="N297" s="4" t="s">
        <v>700</v>
      </c>
      <c r="O297">
        <f t="shared" si="9"/>
        <v>480000</v>
      </c>
    </row>
    <row r="298" spans="1:15" x14ac:dyDescent="0.25">
      <c r="A298" s="3">
        <v>4121257</v>
      </c>
      <c r="B298" s="3" t="s">
        <v>164</v>
      </c>
      <c r="C298" s="6">
        <v>24945</v>
      </c>
      <c r="D298">
        <v>607640</v>
      </c>
      <c r="E298" s="6">
        <v>580</v>
      </c>
      <c r="F298" s="6">
        <v>9552</v>
      </c>
      <c r="G298" s="6">
        <v>348</v>
      </c>
      <c r="H298" s="7">
        <v>19</v>
      </c>
      <c r="I298" s="7">
        <v>21</v>
      </c>
      <c r="J298" s="7">
        <f t="shared" si="8"/>
        <v>643105</v>
      </c>
      <c r="K298" s="5">
        <v>242098096.63</v>
      </c>
      <c r="L298" s="9">
        <v>94007</v>
      </c>
      <c r="N298" s="4" t="s">
        <v>701</v>
      </c>
      <c r="O298">
        <f t="shared" si="9"/>
        <v>607640</v>
      </c>
    </row>
    <row r="299" spans="1:15" x14ac:dyDescent="0.25">
      <c r="A299" s="3">
        <v>4121307</v>
      </c>
      <c r="B299" s="3" t="s">
        <v>188</v>
      </c>
      <c r="C299" s="6">
        <v>325</v>
      </c>
      <c r="D299">
        <v>102000</v>
      </c>
      <c r="E299" s="6">
        <v>61</v>
      </c>
      <c r="F299" s="6">
        <v>497</v>
      </c>
      <c r="G299" s="6">
        <v>64</v>
      </c>
      <c r="H299" s="7">
        <v>0</v>
      </c>
      <c r="I299" s="7">
        <v>10</v>
      </c>
      <c r="J299" s="7">
        <f t="shared" si="8"/>
        <v>102957</v>
      </c>
      <c r="K299" s="5">
        <v>144489744.00999999</v>
      </c>
      <c r="L299" s="9">
        <v>162941</v>
      </c>
      <c r="N299" s="4" t="s">
        <v>702</v>
      </c>
      <c r="O299">
        <f t="shared" si="9"/>
        <v>102000</v>
      </c>
    </row>
    <row r="300" spans="1:15" x14ac:dyDescent="0.25">
      <c r="A300" s="3">
        <v>4121356</v>
      </c>
      <c r="B300" s="3" t="s">
        <v>150</v>
      </c>
      <c r="C300" s="6">
        <v>2240</v>
      </c>
      <c r="D300">
        <v>722455</v>
      </c>
      <c r="E300" s="6">
        <v>138</v>
      </c>
      <c r="F300" s="6">
        <v>80</v>
      </c>
      <c r="G300" s="6">
        <v>50</v>
      </c>
      <c r="H300" s="7">
        <v>2</v>
      </c>
      <c r="I300" s="7">
        <v>1</v>
      </c>
      <c r="J300" s="7">
        <f t="shared" si="8"/>
        <v>724966</v>
      </c>
      <c r="K300" s="5">
        <v>311983603.33999997</v>
      </c>
      <c r="L300" s="9">
        <v>223173</v>
      </c>
      <c r="N300" s="4" t="s">
        <v>703</v>
      </c>
      <c r="O300">
        <f t="shared" si="9"/>
        <v>722455</v>
      </c>
    </row>
    <row r="301" spans="1:15" x14ac:dyDescent="0.25">
      <c r="A301" s="3">
        <v>4121406</v>
      </c>
      <c r="B301" s="3" t="s">
        <v>39</v>
      </c>
      <c r="C301" s="6">
        <v>20982</v>
      </c>
      <c r="D301">
        <v>2391700</v>
      </c>
      <c r="E301" s="6">
        <v>1724</v>
      </c>
      <c r="F301" s="6">
        <v>1712</v>
      </c>
      <c r="G301" s="6">
        <v>234</v>
      </c>
      <c r="H301" s="7">
        <v>48</v>
      </c>
      <c r="I301" s="7">
        <v>0</v>
      </c>
      <c r="J301" s="7">
        <f t="shared" si="8"/>
        <v>2416400</v>
      </c>
      <c r="K301" s="5">
        <v>574850431.42999995</v>
      </c>
      <c r="L301" s="9">
        <v>686180</v>
      </c>
      <c r="N301" s="4" t="s">
        <v>704</v>
      </c>
      <c r="O301">
        <f t="shared" si="9"/>
        <v>2391700</v>
      </c>
    </row>
    <row r="302" spans="1:15" x14ac:dyDescent="0.25">
      <c r="A302" s="3">
        <v>4121505</v>
      </c>
      <c r="B302" s="3" t="s">
        <v>245</v>
      </c>
      <c r="C302" s="6">
        <v>4077</v>
      </c>
      <c r="D302">
        <v>121420</v>
      </c>
      <c r="E302" s="6">
        <v>965</v>
      </c>
      <c r="F302" s="6">
        <v>14235</v>
      </c>
      <c r="G302" s="6">
        <v>599</v>
      </c>
      <c r="H302" s="7">
        <v>45</v>
      </c>
      <c r="I302" s="7">
        <v>32</v>
      </c>
      <c r="J302" s="7">
        <f t="shared" si="8"/>
        <v>141373</v>
      </c>
      <c r="K302" s="5">
        <v>567584075.59000003</v>
      </c>
      <c r="L302" s="9">
        <v>451500</v>
      </c>
      <c r="N302" s="4" t="s">
        <v>705</v>
      </c>
      <c r="O302">
        <f t="shared" si="9"/>
        <v>121420</v>
      </c>
    </row>
    <row r="303" spans="1:15" x14ac:dyDescent="0.25">
      <c r="A303" s="3">
        <v>4121604</v>
      </c>
      <c r="B303" s="3" t="s">
        <v>231</v>
      </c>
      <c r="C303" s="6">
        <v>9302</v>
      </c>
      <c r="D303">
        <v>560661</v>
      </c>
      <c r="E303" s="6">
        <v>1503</v>
      </c>
      <c r="F303" s="6">
        <v>1329</v>
      </c>
      <c r="G303" s="6">
        <v>208</v>
      </c>
      <c r="H303" s="7">
        <v>41</v>
      </c>
      <c r="I303" s="7">
        <v>1</v>
      </c>
      <c r="J303" s="7">
        <f t="shared" si="8"/>
        <v>573045</v>
      </c>
      <c r="K303" s="5">
        <v>488069640.36000001</v>
      </c>
      <c r="L303" s="9">
        <v>341098</v>
      </c>
      <c r="N303" s="4" t="s">
        <v>706</v>
      </c>
      <c r="O303">
        <f t="shared" si="9"/>
        <v>560661</v>
      </c>
    </row>
    <row r="304" spans="1:15" x14ac:dyDescent="0.25">
      <c r="A304" s="3">
        <v>4121703</v>
      </c>
      <c r="B304" s="3" t="s">
        <v>106</v>
      </c>
      <c r="C304" s="6">
        <v>84008</v>
      </c>
      <c r="D304">
        <v>20700</v>
      </c>
      <c r="E304" s="6">
        <v>4993</v>
      </c>
      <c r="F304" s="6">
        <v>2557</v>
      </c>
      <c r="G304" s="6">
        <v>2673</v>
      </c>
      <c r="H304" s="7">
        <v>190</v>
      </c>
      <c r="I304" s="7">
        <v>230</v>
      </c>
      <c r="J304" s="7">
        <f t="shared" si="8"/>
        <v>115351</v>
      </c>
      <c r="K304" s="5">
        <v>707868483.60000002</v>
      </c>
      <c r="L304" s="9">
        <v>680755</v>
      </c>
      <c r="N304" s="4" t="s">
        <v>707</v>
      </c>
      <c r="O304">
        <f t="shared" si="9"/>
        <v>20700</v>
      </c>
    </row>
    <row r="305" spans="1:15" x14ac:dyDescent="0.25">
      <c r="A305" s="3">
        <v>4121752</v>
      </c>
      <c r="B305" s="3" t="s">
        <v>239</v>
      </c>
      <c r="C305" s="6">
        <v>27476</v>
      </c>
      <c r="D305">
        <v>25100</v>
      </c>
      <c r="E305" s="6">
        <v>1957</v>
      </c>
      <c r="F305" s="6">
        <v>1068</v>
      </c>
      <c r="G305" s="6">
        <v>923</v>
      </c>
      <c r="H305" s="7">
        <v>122</v>
      </c>
      <c r="I305" s="7">
        <v>138</v>
      </c>
      <c r="J305" s="7">
        <f t="shared" si="8"/>
        <v>56784</v>
      </c>
      <c r="K305" s="5">
        <v>339371154.35000002</v>
      </c>
      <c r="L305" s="9">
        <v>238283</v>
      </c>
      <c r="N305" s="4" t="s">
        <v>708</v>
      </c>
      <c r="O305">
        <f t="shared" si="9"/>
        <v>25100</v>
      </c>
    </row>
    <row r="306" spans="1:15" x14ac:dyDescent="0.25">
      <c r="A306" s="3">
        <v>4121802</v>
      </c>
      <c r="B306" s="3" t="s">
        <v>266</v>
      </c>
      <c r="C306" s="6">
        <v>70084</v>
      </c>
      <c r="D306">
        <v>1460000</v>
      </c>
      <c r="E306" s="6">
        <v>784</v>
      </c>
      <c r="F306" s="6">
        <v>128</v>
      </c>
      <c r="G306" s="6">
        <v>1392</v>
      </c>
      <c r="H306" s="7">
        <v>64</v>
      </c>
      <c r="I306" s="7">
        <v>158</v>
      </c>
      <c r="J306" s="7">
        <f t="shared" si="8"/>
        <v>1532610</v>
      </c>
      <c r="K306" s="5">
        <v>411807162.50999999</v>
      </c>
      <c r="L306" s="9">
        <v>459884</v>
      </c>
      <c r="N306" s="4" t="s">
        <v>709</v>
      </c>
      <c r="O306">
        <f t="shared" si="9"/>
        <v>1460000</v>
      </c>
    </row>
    <row r="307" spans="1:15" x14ac:dyDescent="0.25">
      <c r="A307" s="3">
        <v>4121901</v>
      </c>
      <c r="B307" s="3" t="s">
        <v>27</v>
      </c>
      <c r="C307" s="6">
        <v>21086</v>
      </c>
      <c r="D307">
        <v>190000</v>
      </c>
      <c r="E307" s="6">
        <v>596</v>
      </c>
      <c r="F307" s="6">
        <v>149</v>
      </c>
      <c r="G307" s="6">
        <v>773</v>
      </c>
      <c r="H307" s="7">
        <v>12</v>
      </c>
      <c r="I307" s="7">
        <v>104</v>
      </c>
      <c r="J307" s="7">
        <f t="shared" si="8"/>
        <v>212720</v>
      </c>
      <c r="K307" s="5">
        <v>204825828.62</v>
      </c>
      <c r="L307" s="9">
        <v>320743</v>
      </c>
      <c r="N307" s="4" t="s">
        <v>710</v>
      </c>
      <c r="O307">
        <f t="shared" si="9"/>
        <v>190000</v>
      </c>
    </row>
    <row r="308" spans="1:15" x14ac:dyDescent="0.25">
      <c r="A308" s="3">
        <v>4122008</v>
      </c>
      <c r="B308" s="3" t="s">
        <v>54</v>
      </c>
      <c r="C308" s="6">
        <v>6274</v>
      </c>
      <c r="D308">
        <v>51000</v>
      </c>
      <c r="E308" s="6">
        <v>1722</v>
      </c>
      <c r="F308" s="6">
        <v>20981</v>
      </c>
      <c r="G308" s="6">
        <v>854</v>
      </c>
      <c r="H308" s="7">
        <v>162</v>
      </c>
      <c r="I308" s="7">
        <v>73</v>
      </c>
      <c r="J308" s="7">
        <f t="shared" si="8"/>
        <v>81066</v>
      </c>
      <c r="K308" s="5">
        <v>643575736.75</v>
      </c>
      <c r="L308" s="9">
        <v>664698</v>
      </c>
      <c r="N308" s="4" t="s">
        <v>711</v>
      </c>
      <c r="O308">
        <f t="shared" si="9"/>
        <v>51000</v>
      </c>
    </row>
    <row r="309" spans="1:15" x14ac:dyDescent="0.25">
      <c r="A309" s="3">
        <v>4122107</v>
      </c>
      <c r="B309" s="3" t="s">
        <v>130</v>
      </c>
      <c r="C309" s="6">
        <v>13616</v>
      </c>
      <c r="D309">
        <v>546920</v>
      </c>
      <c r="E309" s="6">
        <v>255</v>
      </c>
      <c r="F309" s="6">
        <v>111</v>
      </c>
      <c r="G309" s="6">
        <v>356</v>
      </c>
      <c r="H309" s="7">
        <v>6</v>
      </c>
      <c r="I309" s="7">
        <v>14</v>
      </c>
      <c r="J309" s="7">
        <f t="shared" si="8"/>
        <v>561278</v>
      </c>
      <c r="K309" s="5">
        <v>172519075.37</v>
      </c>
      <c r="L309" s="9">
        <v>92696</v>
      </c>
      <c r="N309" s="4" t="s">
        <v>712</v>
      </c>
      <c r="O309">
        <f t="shared" si="9"/>
        <v>546920</v>
      </c>
    </row>
    <row r="310" spans="1:15" x14ac:dyDescent="0.25">
      <c r="A310" s="3">
        <v>4122156</v>
      </c>
      <c r="B310" s="3" t="s">
        <v>69</v>
      </c>
      <c r="C310" s="6">
        <v>44825</v>
      </c>
      <c r="D310">
        <v>262560</v>
      </c>
      <c r="E310" s="6">
        <v>1742</v>
      </c>
      <c r="F310" s="6">
        <v>11904</v>
      </c>
      <c r="G310" s="6">
        <v>535</v>
      </c>
      <c r="H310" s="7">
        <v>215</v>
      </c>
      <c r="I310" s="7">
        <v>47</v>
      </c>
      <c r="J310" s="7">
        <f t="shared" si="8"/>
        <v>321828</v>
      </c>
      <c r="K310" s="5">
        <v>656580410.49000001</v>
      </c>
      <c r="L310" s="9">
        <v>407976</v>
      </c>
      <c r="N310" s="4" t="s">
        <v>713</v>
      </c>
      <c r="O310">
        <f t="shared" si="9"/>
        <v>262560</v>
      </c>
    </row>
    <row r="311" spans="1:15" x14ac:dyDescent="0.25">
      <c r="A311" s="3">
        <v>4122172</v>
      </c>
      <c r="B311" s="3" t="s">
        <v>249</v>
      </c>
      <c r="C311" s="6">
        <v>14229</v>
      </c>
      <c r="D311">
        <v>10812</v>
      </c>
      <c r="E311" s="6">
        <v>650</v>
      </c>
      <c r="F311" s="6">
        <v>771</v>
      </c>
      <c r="G311" s="6">
        <v>333</v>
      </c>
      <c r="H311" s="7">
        <v>6</v>
      </c>
      <c r="I311" s="7">
        <v>14</v>
      </c>
      <c r="J311" s="7">
        <f t="shared" si="8"/>
        <v>26815</v>
      </c>
      <c r="K311" s="5">
        <v>165798400.63</v>
      </c>
      <c r="L311" s="9">
        <v>112818</v>
      </c>
      <c r="N311" s="4" t="s">
        <v>714</v>
      </c>
      <c r="O311">
        <f t="shared" si="9"/>
        <v>10812</v>
      </c>
    </row>
    <row r="312" spans="1:15" x14ac:dyDescent="0.25">
      <c r="A312" s="3">
        <v>4122206</v>
      </c>
      <c r="B312" s="3" t="s">
        <v>35</v>
      </c>
      <c r="C312" s="6">
        <v>20298</v>
      </c>
      <c r="D312">
        <v>42000</v>
      </c>
      <c r="E312" s="6">
        <v>699</v>
      </c>
      <c r="F312" s="6">
        <v>226</v>
      </c>
      <c r="G312" s="6">
        <v>746</v>
      </c>
      <c r="H312" s="7">
        <v>108</v>
      </c>
      <c r="I312" s="7">
        <v>132</v>
      </c>
      <c r="J312" s="7">
        <f t="shared" si="8"/>
        <v>64209</v>
      </c>
      <c r="K312" s="5">
        <v>221250083.25999999</v>
      </c>
      <c r="L312" s="9">
        <v>1014371</v>
      </c>
      <c r="N312" s="4" t="s">
        <v>715</v>
      </c>
      <c r="O312">
        <f t="shared" si="9"/>
        <v>42000</v>
      </c>
    </row>
    <row r="313" spans="1:15" x14ac:dyDescent="0.25">
      <c r="A313" s="3">
        <v>4122305</v>
      </c>
      <c r="B313" s="3" t="s">
        <v>36</v>
      </c>
      <c r="C313" s="6">
        <v>3490</v>
      </c>
      <c r="D313">
        <v>1400000</v>
      </c>
      <c r="E313" s="6">
        <v>957</v>
      </c>
      <c r="F313" s="6">
        <v>618</v>
      </c>
      <c r="G313" s="6">
        <v>676</v>
      </c>
      <c r="H313" s="7">
        <v>37</v>
      </c>
      <c r="I313" s="7">
        <v>15</v>
      </c>
      <c r="J313" s="7">
        <f t="shared" si="8"/>
        <v>1405793</v>
      </c>
      <c r="K313" s="5">
        <v>383983257.51999998</v>
      </c>
      <c r="L313" s="9">
        <v>1199886</v>
      </c>
      <c r="N313" s="4" t="s">
        <v>716</v>
      </c>
      <c r="O313">
        <f t="shared" si="9"/>
        <v>1400000</v>
      </c>
    </row>
    <row r="314" spans="1:15" x14ac:dyDescent="0.25">
      <c r="A314" s="3">
        <v>4122404</v>
      </c>
      <c r="B314" s="3" t="s">
        <v>74</v>
      </c>
      <c r="C314" s="6">
        <v>4392</v>
      </c>
      <c r="D314">
        <v>3532500</v>
      </c>
      <c r="E314" s="6">
        <v>740</v>
      </c>
      <c r="F314" s="6">
        <v>2246</v>
      </c>
      <c r="G314" s="6">
        <v>329</v>
      </c>
      <c r="H314" s="7">
        <v>33</v>
      </c>
      <c r="I314" s="7">
        <v>20</v>
      </c>
      <c r="J314" s="7">
        <f t="shared" si="8"/>
        <v>3540260</v>
      </c>
      <c r="K314" s="5">
        <v>524320301.97000003</v>
      </c>
      <c r="L314" s="9">
        <v>3083699</v>
      </c>
      <c r="N314" s="4" t="s">
        <v>717</v>
      </c>
      <c r="O314">
        <f t="shared" si="9"/>
        <v>3532500</v>
      </c>
    </row>
    <row r="315" spans="1:15" x14ac:dyDescent="0.25">
      <c r="A315" s="3">
        <v>4122503</v>
      </c>
      <c r="B315" s="3" t="s">
        <v>151</v>
      </c>
      <c r="C315" s="6">
        <v>35854</v>
      </c>
      <c r="D315">
        <v>1325000</v>
      </c>
      <c r="E315" s="6">
        <v>1018</v>
      </c>
      <c r="F315" s="6">
        <v>11643</v>
      </c>
      <c r="G315" s="6">
        <v>746</v>
      </c>
      <c r="H315" s="7">
        <v>303</v>
      </c>
      <c r="I315" s="7">
        <v>126</v>
      </c>
      <c r="J315" s="7">
        <f t="shared" si="8"/>
        <v>1374690</v>
      </c>
      <c r="K315" s="5">
        <v>610959034.66999996</v>
      </c>
      <c r="L315" s="9">
        <v>538821</v>
      </c>
      <c r="N315" s="4" t="s">
        <v>718</v>
      </c>
      <c r="O315">
        <f t="shared" si="9"/>
        <v>1325000</v>
      </c>
    </row>
    <row r="316" spans="1:15" x14ac:dyDescent="0.25">
      <c r="A316" s="3">
        <v>4122602</v>
      </c>
      <c r="B316" s="3" t="s">
        <v>22</v>
      </c>
      <c r="C316" s="6">
        <v>31145</v>
      </c>
      <c r="D316">
        <v>1573765</v>
      </c>
      <c r="E316" s="6">
        <v>404</v>
      </c>
      <c r="F316" s="6">
        <v>376</v>
      </c>
      <c r="G316" s="6">
        <v>559</v>
      </c>
      <c r="H316" s="7">
        <v>20</v>
      </c>
      <c r="I316" s="7">
        <v>36</v>
      </c>
      <c r="J316" s="7">
        <f t="shared" si="8"/>
        <v>1606305</v>
      </c>
      <c r="K316" s="5">
        <v>370643652.26999998</v>
      </c>
      <c r="L316" s="9">
        <v>334034</v>
      </c>
      <c r="N316" s="4" t="s">
        <v>719</v>
      </c>
      <c r="O316">
        <f t="shared" si="9"/>
        <v>1573765</v>
      </c>
    </row>
    <row r="317" spans="1:15" x14ac:dyDescent="0.25">
      <c r="A317" s="3">
        <v>4122651</v>
      </c>
      <c r="B317" s="3" t="s">
        <v>250</v>
      </c>
      <c r="C317" s="6">
        <v>49285</v>
      </c>
      <c r="D317">
        <v>101410</v>
      </c>
      <c r="E317" s="6">
        <v>919</v>
      </c>
      <c r="F317" s="6">
        <v>912</v>
      </c>
      <c r="G317" s="6">
        <v>1140</v>
      </c>
      <c r="H317" s="7">
        <v>20</v>
      </c>
      <c r="I317" s="7">
        <v>140</v>
      </c>
      <c r="J317" s="7">
        <f t="shared" si="8"/>
        <v>153826</v>
      </c>
      <c r="K317" s="5">
        <v>199294610.15000001</v>
      </c>
      <c r="L317" s="9">
        <v>114384</v>
      </c>
      <c r="N317" s="4" t="s">
        <v>720</v>
      </c>
      <c r="O317">
        <f t="shared" si="9"/>
        <v>101410</v>
      </c>
    </row>
    <row r="318" spans="1:15" x14ac:dyDescent="0.25">
      <c r="A318" s="3">
        <v>4122701</v>
      </c>
      <c r="B318" s="3" t="s">
        <v>131</v>
      </c>
      <c r="C318" s="6">
        <v>5100</v>
      </c>
      <c r="D318">
        <v>2610500</v>
      </c>
      <c r="E318" s="6">
        <v>306</v>
      </c>
      <c r="F318" s="6">
        <v>1737</v>
      </c>
      <c r="G318" s="6">
        <v>172</v>
      </c>
      <c r="H318" s="7">
        <v>27</v>
      </c>
      <c r="I318" s="7">
        <v>81</v>
      </c>
      <c r="J318" s="7">
        <f t="shared" si="8"/>
        <v>2617923</v>
      </c>
      <c r="K318" s="5">
        <v>293581415.12</v>
      </c>
      <c r="L318" s="9">
        <v>585161</v>
      </c>
      <c r="N318" s="4" t="s">
        <v>721</v>
      </c>
      <c r="O318">
        <f t="shared" si="9"/>
        <v>2610500</v>
      </c>
    </row>
    <row r="319" spans="1:15" x14ac:dyDescent="0.25">
      <c r="A319" s="3">
        <v>4122800</v>
      </c>
      <c r="B319" s="3" t="s">
        <v>44</v>
      </c>
      <c r="C319" s="6">
        <v>24276</v>
      </c>
      <c r="D319">
        <v>696156</v>
      </c>
      <c r="E319" s="6">
        <v>574</v>
      </c>
      <c r="F319" s="6">
        <v>21331</v>
      </c>
      <c r="G319" s="6">
        <v>261</v>
      </c>
      <c r="H319" s="7">
        <v>46</v>
      </c>
      <c r="I319" s="7">
        <v>1</v>
      </c>
      <c r="J319" s="7">
        <f t="shared" si="8"/>
        <v>742645</v>
      </c>
      <c r="K319" s="5">
        <v>317664704.07999998</v>
      </c>
      <c r="L319" s="9">
        <v>115031</v>
      </c>
      <c r="N319" s="4" t="s">
        <v>722</v>
      </c>
      <c r="O319">
        <f t="shared" si="9"/>
        <v>696156</v>
      </c>
    </row>
    <row r="320" spans="1:15" x14ac:dyDescent="0.25">
      <c r="A320" s="3">
        <v>4122909</v>
      </c>
      <c r="B320" s="3" t="s">
        <v>272</v>
      </c>
      <c r="C320" s="6">
        <v>16698</v>
      </c>
      <c r="D320">
        <v>160000</v>
      </c>
      <c r="E320" s="6">
        <v>39</v>
      </c>
      <c r="F320" s="6">
        <v>66</v>
      </c>
      <c r="G320" s="6">
        <v>370</v>
      </c>
      <c r="H320" s="7">
        <v>23</v>
      </c>
      <c r="I320" s="7">
        <v>46</v>
      </c>
      <c r="J320" s="7">
        <f t="shared" si="8"/>
        <v>177242</v>
      </c>
      <c r="K320" s="5">
        <v>149795652.52000001</v>
      </c>
      <c r="L320" s="9">
        <v>101684</v>
      </c>
      <c r="N320" s="4" t="s">
        <v>723</v>
      </c>
      <c r="O320">
        <f t="shared" si="9"/>
        <v>160000</v>
      </c>
    </row>
    <row r="321" spans="1:15" x14ac:dyDescent="0.25">
      <c r="A321" s="3">
        <v>4123006</v>
      </c>
      <c r="B321" s="3" t="s">
        <v>40</v>
      </c>
      <c r="C321" s="6">
        <v>23907</v>
      </c>
      <c r="D321">
        <v>5346500</v>
      </c>
      <c r="E321" s="6">
        <v>486</v>
      </c>
      <c r="F321" s="6">
        <v>7625</v>
      </c>
      <c r="G321" s="6">
        <v>180</v>
      </c>
      <c r="H321" s="7">
        <v>32</v>
      </c>
      <c r="I321" s="7">
        <v>0</v>
      </c>
      <c r="J321" s="7">
        <f t="shared" si="8"/>
        <v>5378730</v>
      </c>
      <c r="K321" s="5">
        <v>766297857.76999998</v>
      </c>
      <c r="L321" s="9">
        <v>469063</v>
      </c>
      <c r="N321" s="4" t="s">
        <v>724</v>
      </c>
      <c r="O321">
        <f t="shared" si="9"/>
        <v>5346500</v>
      </c>
    </row>
    <row r="322" spans="1:15" x14ac:dyDescent="0.25">
      <c r="A322" s="3">
        <v>4123105</v>
      </c>
      <c r="B322" s="3" t="s">
        <v>195</v>
      </c>
      <c r="C322" s="6">
        <v>1132</v>
      </c>
      <c r="D322">
        <v>162899</v>
      </c>
      <c r="E322" s="6">
        <v>68</v>
      </c>
      <c r="F322" s="6">
        <v>274</v>
      </c>
      <c r="G322" s="6">
        <v>55</v>
      </c>
      <c r="H322" s="7">
        <v>3</v>
      </c>
      <c r="I322" s="7">
        <v>10</v>
      </c>
      <c r="J322" s="7">
        <f t="shared" si="8"/>
        <v>164441</v>
      </c>
      <c r="K322" s="5">
        <v>78160737.650000006</v>
      </c>
      <c r="L322" s="9">
        <v>96198</v>
      </c>
      <c r="N322" s="4" t="s">
        <v>725</v>
      </c>
      <c r="O322">
        <f t="shared" si="9"/>
        <v>162899</v>
      </c>
    </row>
    <row r="323" spans="1:15" x14ac:dyDescent="0.25">
      <c r="A323" s="3">
        <v>4123204</v>
      </c>
      <c r="B323" s="3" t="s">
        <v>182</v>
      </c>
      <c r="C323" s="6">
        <v>3215</v>
      </c>
      <c r="D323">
        <v>361799</v>
      </c>
      <c r="E323" s="6">
        <v>107</v>
      </c>
      <c r="F323" s="6">
        <v>204</v>
      </c>
      <c r="G323" s="6">
        <v>90</v>
      </c>
      <c r="H323" s="7">
        <v>11</v>
      </c>
      <c r="I323" s="7">
        <v>5</v>
      </c>
      <c r="J323" s="7">
        <f t="shared" ref="J323:J386" si="10">SUM(C323+D323+E323+F323+G323+H323+I323)</f>
        <v>365431</v>
      </c>
      <c r="K323" s="5">
        <v>69908932.859999999</v>
      </c>
      <c r="L323" s="9">
        <v>176174</v>
      </c>
      <c r="N323" s="4" t="s">
        <v>726</v>
      </c>
      <c r="O323">
        <f t="shared" ref="O323:O386" si="11">N323*1</f>
        <v>361799</v>
      </c>
    </row>
    <row r="324" spans="1:15" x14ac:dyDescent="0.25">
      <c r="A324" s="3">
        <v>4123303</v>
      </c>
      <c r="B324" s="3" t="s">
        <v>91</v>
      </c>
      <c r="C324" s="6">
        <v>54597</v>
      </c>
      <c r="D324">
        <v>636677</v>
      </c>
      <c r="E324" s="6">
        <v>665</v>
      </c>
      <c r="F324" s="6">
        <v>675</v>
      </c>
      <c r="G324" s="6">
        <v>585</v>
      </c>
      <c r="H324" s="7">
        <v>2</v>
      </c>
      <c r="I324" s="7">
        <v>21</v>
      </c>
      <c r="J324" s="7">
        <f t="shared" si="10"/>
        <v>693222</v>
      </c>
      <c r="K324" s="5">
        <v>291297502.25999999</v>
      </c>
      <c r="L324" s="9">
        <v>360246</v>
      </c>
      <c r="N324" s="4" t="s">
        <v>727</v>
      </c>
      <c r="O324">
        <f t="shared" si="11"/>
        <v>636677</v>
      </c>
    </row>
    <row r="325" spans="1:15" x14ac:dyDescent="0.25">
      <c r="A325" s="3">
        <v>4123402</v>
      </c>
      <c r="B325" s="3" t="s">
        <v>298</v>
      </c>
      <c r="C325" s="6">
        <v>19025</v>
      </c>
      <c r="D325">
        <v>2126886</v>
      </c>
      <c r="E325" s="6">
        <v>357</v>
      </c>
      <c r="F325" s="6">
        <v>292</v>
      </c>
      <c r="G325" s="6">
        <v>498</v>
      </c>
      <c r="H325" s="7">
        <v>0</v>
      </c>
      <c r="I325" s="7">
        <v>48</v>
      </c>
      <c r="J325" s="7">
        <f t="shared" si="10"/>
        <v>2147106</v>
      </c>
      <c r="K325" s="5">
        <v>370773926.63</v>
      </c>
      <c r="L325" s="9">
        <v>302992</v>
      </c>
      <c r="N325" s="4" t="s">
        <v>728</v>
      </c>
      <c r="O325">
        <f t="shared" si="11"/>
        <v>2126886</v>
      </c>
    </row>
    <row r="326" spans="1:15" x14ac:dyDescent="0.25">
      <c r="A326" s="3">
        <v>4123501</v>
      </c>
      <c r="B326" s="3" t="s">
        <v>114</v>
      </c>
      <c r="C326" s="6">
        <v>31075</v>
      </c>
      <c r="D326">
        <v>8280000</v>
      </c>
      <c r="E326" s="6">
        <v>2279</v>
      </c>
      <c r="F326" s="6">
        <v>379256</v>
      </c>
      <c r="G326" s="6">
        <v>369</v>
      </c>
      <c r="H326" s="7">
        <v>188</v>
      </c>
      <c r="I326" s="7">
        <v>47</v>
      </c>
      <c r="J326" s="7">
        <f t="shared" si="10"/>
        <v>8693214</v>
      </c>
      <c r="K326" s="5">
        <v>2484807127.1399999</v>
      </c>
      <c r="L326" s="9">
        <v>1208896</v>
      </c>
      <c r="N326" s="4" t="s">
        <v>729</v>
      </c>
      <c r="O326">
        <f t="shared" si="11"/>
        <v>8280000</v>
      </c>
    </row>
    <row r="327" spans="1:15" x14ac:dyDescent="0.25">
      <c r="A327" s="3">
        <v>4123600</v>
      </c>
      <c r="B327" s="3" t="s">
        <v>302</v>
      </c>
      <c r="C327" s="6">
        <v>5410</v>
      </c>
      <c r="D327">
        <v>354386</v>
      </c>
      <c r="E327" s="6">
        <v>191</v>
      </c>
      <c r="F327" s="6">
        <v>70</v>
      </c>
      <c r="G327" s="6">
        <v>116</v>
      </c>
      <c r="H327" s="7">
        <v>6</v>
      </c>
      <c r="I327" s="7">
        <v>6</v>
      </c>
      <c r="J327" s="7">
        <f t="shared" si="10"/>
        <v>360185</v>
      </c>
      <c r="K327" s="5">
        <v>86750106.030000001</v>
      </c>
      <c r="L327" s="9">
        <v>51934</v>
      </c>
      <c r="N327" s="4" t="s">
        <v>730</v>
      </c>
      <c r="O327">
        <f t="shared" si="11"/>
        <v>354386</v>
      </c>
    </row>
    <row r="328" spans="1:15" x14ac:dyDescent="0.25">
      <c r="A328" s="3">
        <v>4123709</v>
      </c>
      <c r="B328" s="3" t="s">
        <v>322</v>
      </c>
      <c r="C328" s="6">
        <v>37042</v>
      </c>
      <c r="D328">
        <v>241360</v>
      </c>
      <c r="E328" s="6">
        <v>243</v>
      </c>
      <c r="F328" s="6">
        <v>121</v>
      </c>
      <c r="G328" s="6">
        <v>356</v>
      </c>
      <c r="H328" s="7">
        <v>0</v>
      </c>
      <c r="I328" s="7">
        <v>6</v>
      </c>
      <c r="J328" s="7">
        <f t="shared" si="10"/>
        <v>279128</v>
      </c>
      <c r="K328" s="5">
        <v>281229128.05000001</v>
      </c>
      <c r="L328" s="9">
        <v>245752</v>
      </c>
      <c r="N328" s="4" t="s">
        <v>731</v>
      </c>
      <c r="O328">
        <f t="shared" si="11"/>
        <v>241360</v>
      </c>
    </row>
    <row r="329" spans="1:15" x14ac:dyDescent="0.25">
      <c r="A329" s="3">
        <v>4123808</v>
      </c>
      <c r="B329" s="3" t="s">
        <v>224</v>
      </c>
      <c r="C329" s="6">
        <v>22860</v>
      </c>
      <c r="D329">
        <v>5350000</v>
      </c>
      <c r="E329" s="6">
        <v>646</v>
      </c>
      <c r="F329" s="6">
        <v>13515</v>
      </c>
      <c r="G329" s="6">
        <v>205</v>
      </c>
      <c r="H329" s="7">
        <v>163</v>
      </c>
      <c r="I329" s="7">
        <v>5</v>
      </c>
      <c r="J329" s="7">
        <f t="shared" si="10"/>
        <v>5387394</v>
      </c>
      <c r="K329" s="5">
        <v>811325605.25999999</v>
      </c>
      <c r="L329" s="9">
        <v>380922</v>
      </c>
      <c r="N329" s="4" t="s">
        <v>732</v>
      </c>
      <c r="O329">
        <f t="shared" si="11"/>
        <v>5350000</v>
      </c>
    </row>
    <row r="330" spans="1:15" x14ac:dyDescent="0.25">
      <c r="A330" s="3">
        <v>4123824</v>
      </c>
      <c r="B330" s="3" t="s">
        <v>156</v>
      </c>
      <c r="C330" s="6">
        <v>10820</v>
      </c>
      <c r="D330">
        <v>1600000</v>
      </c>
      <c r="E330" s="6">
        <v>580</v>
      </c>
      <c r="F330" s="6">
        <v>669</v>
      </c>
      <c r="G330" s="6">
        <v>141</v>
      </c>
      <c r="H330" s="7">
        <v>29</v>
      </c>
      <c r="I330" s="7">
        <v>5</v>
      </c>
      <c r="J330" s="7">
        <f t="shared" si="10"/>
        <v>1612244</v>
      </c>
      <c r="K330" s="5">
        <v>217937864.81</v>
      </c>
      <c r="L330" s="9">
        <v>145977</v>
      </c>
      <c r="N330" s="4" t="s">
        <v>733</v>
      </c>
      <c r="O330">
        <f t="shared" si="11"/>
        <v>1600000</v>
      </c>
    </row>
    <row r="331" spans="1:15" x14ac:dyDescent="0.25">
      <c r="A331" s="3">
        <v>4123857</v>
      </c>
      <c r="B331" s="3" t="s">
        <v>356</v>
      </c>
      <c r="C331" s="6">
        <v>40671</v>
      </c>
      <c r="D331">
        <v>58700</v>
      </c>
      <c r="E331" s="6">
        <v>2391</v>
      </c>
      <c r="F331" s="6">
        <v>1675</v>
      </c>
      <c r="G331" s="6">
        <v>671</v>
      </c>
      <c r="H331" s="7">
        <v>77</v>
      </c>
      <c r="I331" s="7">
        <v>37</v>
      </c>
      <c r="J331" s="7">
        <f t="shared" si="10"/>
        <v>104222</v>
      </c>
      <c r="K331" s="5">
        <v>459006702.87</v>
      </c>
      <c r="L331" s="9">
        <v>205826</v>
      </c>
      <c r="N331" s="4" t="s">
        <v>734</v>
      </c>
      <c r="O331">
        <f t="shared" si="11"/>
        <v>58700</v>
      </c>
    </row>
    <row r="332" spans="1:15" x14ac:dyDescent="0.25">
      <c r="A332" s="3">
        <v>4123907</v>
      </c>
      <c r="B332" s="3" t="s">
        <v>28</v>
      </c>
      <c r="C332" s="6">
        <v>2590</v>
      </c>
      <c r="D332">
        <v>7000</v>
      </c>
      <c r="E332" s="6">
        <v>549</v>
      </c>
      <c r="F332" s="6">
        <v>470</v>
      </c>
      <c r="G332" s="6">
        <v>233</v>
      </c>
      <c r="H332" s="7">
        <v>19</v>
      </c>
      <c r="I332" s="7">
        <v>16</v>
      </c>
      <c r="J332" s="7">
        <f t="shared" si="10"/>
        <v>10877</v>
      </c>
      <c r="K332" s="5">
        <v>293062093.31999999</v>
      </c>
      <c r="L332" s="9">
        <v>439561</v>
      </c>
      <c r="N332" s="4" t="s">
        <v>735</v>
      </c>
      <c r="O332">
        <f t="shared" si="11"/>
        <v>7000</v>
      </c>
    </row>
    <row r="333" spans="1:15" x14ac:dyDescent="0.25">
      <c r="A333" s="3">
        <v>4123956</v>
      </c>
      <c r="B333" s="3" t="s">
        <v>323</v>
      </c>
      <c r="C333" s="6">
        <v>18523</v>
      </c>
      <c r="D333">
        <v>224506</v>
      </c>
      <c r="E333" s="6">
        <v>110</v>
      </c>
      <c r="F333" s="6">
        <v>96</v>
      </c>
      <c r="G333" s="6">
        <v>196</v>
      </c>
      <c r="H333" s="7">
        <v>8</v>
      </c>
      <c r="I333" s="7">
        <v>9</v>
      </c>
      <c r="J333" s="7">
        <f t="shared" si="10"/>
        <v>243448</v>
      </c>
      <c r="K333" s="5">
        <v>184588154.94</v>
      </c>
      <c r="L333" s="9">
        <v>95717</v>
      </c>
      <c r="N333" s="4" t="s">
        <v>736</v>
      </c>
      <c r="O333">
        <f t="shared" si="11"/>
        <v>224506</v>
      </c>
    </row>
    <row r="334" spans="1:15" x14ac:dyDescent="0.25">
      <c r="A334" s="3">
        <v>4124020</v>
      </c>
      <c r="B334" s="3" t="s">
        <v>157</v>
      </c>
      <c r="C334" s="6">
        <v>7924</v>
      </c>
      <c r="D334">
        <v>920000</v>
      </c>
      <c r="E334" s="6">
        <v>859</v>
      </c>
      <c r="F334" s="6">
        <v>3439</v>
      </c>
      <c r="G334" s="6">
        <v>247</v>
      </c>
      <c r="H334" s="7">
        <v>10</v>
      </c>
      <c r="I334" s="7">
        <v>10</v>
      </c>
      <c r="J334" s="7">
        <f t="shared" si="10"/>
        <v>932489</v>
      </c>
      <c r="K334" s="5">
        <v>465548196.36000001</v>
      </c>
      <c r="L334" s="9">
        <v>527201</v>
      </c>
      <c r="N334" s="4" t="s">
        <v>737</v>
      </c>
      <c r="O334">
        <f t="shared" si="11"/>
        <v>920000</v>
      </c>
    </row>
    <row r="335" spans="1:15" x14ac:dyDescent="0.25">
      <c r="A335" s="3">
        <v>4124053</v>
      </c>
      <c r="B335" s="3" t="s">
        <v>162</v>
      </c>
      <c r="C335" s="6">
        <v>4678</v>
      </c>
      <c r="D335">
        <v>296120</v>
      </c>
      <c r="E335" s="6">
        <v>1013</v>
      </c>
      <c r="F335" s="6">
        <v>731</v>
      </c>
      <c r="G335" s="6">
        <v>155</v>
      </c>
      <c r="H335" s="7">
        <v>36</v>
      </c>
      <c r="I335" s="7">
        <v>3</v>
      </c>
      <c r="J335" s="7">
        <f t="shared" si="10"/>
        <v>302736</v>
      </c>
      <c r="K335" s="5">
        <v>278472611.87</v>
      </c>
      <c r="L335" s="9">
        <v>592244</v>
      </c>
      <c r="N335" s="4" t="s">
        <v>738</v>
      </c>
      <c r="O335">
        <f t="shared" si="11"/>
        <v>296120</v>
      </c>
    </row>
    <row r="336" spans="1:15" x14ac:dyDescent="0.25">
      <c r="A336" s="3">
        <v>4124004</v>
      </c>
      <c r="B336" s="3" t="s">
        <v>274</v>
      </c>
      <c r="C336" s="6">
        <v>13950</v>
      </c>
      <c r="D336">
        <v>14996</v>
      </c>
      <c r="E336" s="6">
        <v>185</v>
      </c>
      <c r="F336" s="6">
        <v>184</v>
      </c>
      <c r="G336" s="6">
        <v>179</v>
      </c>
      <c r="H336" s="7">
        <v>55</v>
      </c>
      <c r="I336" s="7">
        <v>17</v>
      </c>
      <c r="J336" s="7">
        <f t="shared" si="10"/>
        <v>29566</v>
      </c>
      <c r="K336" s="5">
        <v>264627192.83000001</v>
      </c>
      <c r="L336" s="9">
        <v>138568</v>
      </c>
      <c r="N336" s="4" t="s">
        <v>739</v>
      </c>
      <c r="O336">
        <f t="shared" si="11"/>
        <v>14996</v>
      </c>
    </row>
    <row r="337" spans="1:15" x14ac:dyDescent="0.25">
      <c r="A337" s="3">
        <v>4124103</v>
      </c>
      <c r="B337" s="3" t="s">
        <v>62</v>
      </c>
      <c r="C337" s="6">
        <v>71907</v>
      </c>
      <c r="D337">
        <v>1855000</v>
      </c>
      <c r="E337" s="6">
        <v>1529</v>
      </c>
      <c r="F337" s="6">
        <v>735</v>
      </c>
      <c r="G337" s="6">
        <v>1333</v>
      </c>
      <c r="H337" s="7">
        <v>58</v>
      </c>
      <c r="I337" s="7">
        <v>125</v>
      </c>
      <c r="J337" s="7">
        <f t="shared" si="10"/>
        <v>1930687</v>
      </c>
      <c r="K337" s="5">
        <v>613461739.59000003</v>
      </c>
      <c r="L337" s="9">
        <v>1341752</v>
      </c>
      <c r="N337" s="4" t="s">
        <v>740</v>
      </c>
      <c r="O337">
        <f t="shared" si="11"/>
        <v>1855000</v>
      </c>
    </row>
    <row r="338" spans="1:15" x14ac:dyDescent="0.25">
      <c r="A338" s="3">
        <v>4124202</v>
      </c>
      <c r="B338" s="3" t="s">
        <v>341</v>
      </c>
      <c r="C338" s="6">
        <v>22627</v>
      </c>
      <c r="D338">
        <v>232813</v>
      </c>
      <c r="E338" s="6">
        <v>348</v>
      </c>
      <c r="F338" s="6">
        <v>68</v>
      </c>
      <c r="G338" s="6">
        <v>254</v>
      </c>
      <c r="H338" s="7">
        <v>0</v>
      </c>
      <c r="I338" s="7">
        <v>17</v>
      </c>
      <c r="J338" s="7">
        <f t="shared" si="10"/>
        <v>256127</v>
      </c>
      <c r="K338" s="5">
        <v>90489618.170000002</v>
      </c>
      <c r="L338" s="9">
        <v>52491</v>
      </c>
      <c r="N338" s="4" t="s">
        <v>741</v>
      </c>
      <c r="O338">
        <f t="shared" si="11"/>
        <v>232813</v>
      </c>
    </row>
    <row r="339" spans="1:15" x14ac:dyDescent="0.25">
      <c r="A339" s="3">
        <v>4124301</v>
      </c>
      <c r="B339" s="3" t="s">
        <v>193</v>
      </c>
      <c r="C339" s="6">
        <v>3387</v>
      </c>
      <c r="D339">
        <v>258200</v>
      </c>
      <c r="E339" s="6">
        <v>17</v>
      </c>
      <c r="F339" s="6">
        <v>32</v>
      </c>
      <c r="G339" s="6">
        <v>80</v>
      </c>
      <c r="H339" s="7">
        <v>20</v>
      </c>
      <c r="I339" s="7">
        <v>22</v>
      </c>
      <c r="J339" s="7">
        <f t="shared" si="10"/>
        <v>261758</v>
      </c>
      <c r="K339" s="5">
        <v>122697917.58</v>
      </c>
      <c r="L339" s="9">
        <v>91302</v>
      </c>
      <c r="N339" s="4" t="s">
        <v>742</v>
      </c>
      <c r="O339">
        <f t="shared" si="11"/>
        <v>258200</v>
      </c>
    </row>
    <row r="340" spans="1:15" x14ac:dyDescent="0.25">
      <c r="A340" s="3">
        <v>4124400</v>
      </c>
      <c r="B340" s="3" t="s">
        <v>45</v>
      </c>
      <c r="C340" s="6">
        <v>18916</v>
      </c>
      <c r="D340">
        <v>3219528</v>
      </c>
      <c r="E340" s="6">
        <v>1066</v>
      </c>
      <c r="F340" s="6">
        <v>2466</v>
      </c>
      <c r="G340" s="6">
        <v>390</v>
      </c>
      <c r="H340" s="7">
        <v>118</v>
      </c>
      <c r="I340" s="7">
        <v>6</v>
      </c>
      <c r="J340" s="7">
        <f t="shared" si="10"/>
        <v>3242490</v>
      </c>
      <c r="K340" s="5">
        <v>975145416.88</v>
      </c>
      <c r="L340" s="9">
        <v>578239</v>
      </c>
      <c r="N340" s="4" t="s">
        <v>743</v>
      </c>
      <c r="O340">
        <f t="shared" si="11"/>
        <v>3219528</v>
      </c>
    </row>
    <row r="341" spans="1:15" x14ac:dyDescent="0.25">
      <c r="A341" s="3">
        <v>4124509</v>
      </c>
      <c r="B341" s="3" t="s">
        <v>303</v>
      </c>
      <c r="C341" s="6">
        <v>14611</v>
      </c>
      <c r="D341">
        <v>550000</v>
      </c>
      <c r="E341" s="6">
        <v>383</v>
      </c>
      <c r="F341" s="6">
        <v>200</v>
      </c>
      <c r="G341" s="6">
        <v>325</v>
      </c>
      <c r="H341" s="7">
        <v>0</v>
      </c>
      <c r="I341" s="7">
        <v>7</v>
      </c>
      <c r="J341" s="7">
        <f t="shared" si="10"/>
        <v>565526</v>
      </c>
      <c r="K341" s="5">
        <v>213943219.30000001</v>
      </c>
      <c r="L341" s="9">
        <v>505014</v>
      </c>
      <c r="N341" s="4" t="s">
        <v>744</v>
      </c>
      <c r="O341">
        <f t="shared" si="11"/>
        <v>550000</v>
      </c>
    </row>
    <row r="342" spans="1:15" x14ac:dyDescent="0.25">
      <c r="A342" s="3">
        <v>4124608</v>
      </c>
      <c r="B342" s="3" t="s">
        <v>330</v>
      </c>
      <c r="C342" s="6">
        <v>2891</v>
      </c>
      <c r="D342">
        <v>98530</v>
      </c>
      <c r="E342" s="6">
        <v>212</v>
      </c>
      <c r="F342" s="6">
        <v>113</v>
      </c>
      <c r="G342" s="6">
        <v>94</v>
      </c>
      <c r="H342" s="7">
        <v>8</v>
      </c>
      <c r="I342" s="7">
        <v>7</v>
      </c>
      <c r="J342" s="7">
        <f t="shared" si="10"/>
        <v>101855</v>
      </c>
      <c r="K342" s="5">
        <v>154395587.13</v>
      </c>
      <c r="L342" s="9">
        <v>378782</v>
      </c>
      <c r="N342" s="4" t="s">
        <v>745</v>
      </c>
      <c r="O342">
        <f t="shared" si="11"/>
        <v>98530</v>
      </c>
    </row>
    <row r="343" spans="1:15" x14ac:dyDescent="0.25">
      <c r="A343" s="3">
        <v>4124707</v>
      </c>
      <c r="B343" s="3" t="s">
        <v>196</v>
      </c>
      <c r="C343" s="6">
        <v>38322</v>
      </c>
      <c r="D343">
        <v>5600</v>
      </c>
      <c r="E343" s="6">
        <v>749</v>
      </c>
      <c r="F343" s="6">
        <v>471</v>
      </c>
      <c r="G343" s="6">
        <v>853</v>
      </c>
      <c r="H343" s="7">
        <v>5</v>
      </c>
      <c r="I343" s="7">
        <v>82</v>
      </c>
      <c r="J343" s="7">
        <f t="shared" si="10"/>
        <v>46082</v>
      </c>
      <c r="K343" s="5">
        <v>328533753.97000003</v>
      </c>
      <c r="L343" s="9">
        <v>285311</v>
      </c>
      <c r="N343" s="4" t="s">
        <v>746</v>
      </c>
      <c r="O343">
        <f t="shared" si="11"/>
        <v>5600</v>
      </c>
    </row>
    <row r="344" spans="1:15" x14ac:dyDescent="0.25">
      <c r="A344" s="3">
        <v>4124806</v>
      </c>
      <c r="B344" s="3" t="s">
        <v>342</v>
      </c>
      <c r="C344" s="6">
        <v>20151</v>
      </c>
      <c r="D344">
        <v>2938498</v>
      </c>
      <c r="E344" s="6">
        <v>877</v>
      </c>
      <c r="F344" s="6">
        <v>874</v>
      </c>
      <c r="G344" s="6">
        <v>263</v>
      </c>
      <c r="H344" s="7">
        <v>137</v>
      </c>
      <c r="I344" s="7">
        <v>8</v>
      </c>
      <c r="J344" s="7">
        <f t="shared" si="10"/>
        <v>2960808</v>
      </c>
      <c r="K344" s="5">
        <v>573412165.62</v>
      </c>
      <c r="L344" s="9">
        <v>782793</v>
      </c>
      <c r="N344" s="4" t="s">
        <v>747</v>
      </c>
      <c r="O344">
        <f t="shared" si="11"/>
        <v>2938498</v>
      </c>
    </row>
    <row r="345" spans="1:15" x14ac:dyDescent="0.25">
      <c r="A345" s="3">
        <v>4124905</v>
      </c>
      <c r="B345" s="3" t="s">
        <v>338</v>
      </c>
      <c r="C345" s="6">
        <v>34537</v>
      </c>
      <c r="D345">
        <v>668463</v>
      </c>
      <c r="E345" s="6">
        <v>280</v>
      </c>
      <c r="F345" s="6">
        <v>116</v>
      </c>
      <c r="G345" s="6">
        <v>392</v>
      </c>
      <c r="H345" s="7">
        <v>5</v>
      </c>
      <c r="I345" s="7">
        <v>19</v>
      </c>
      <c r="J345" s="7">
        <f t="shared" si="10"/>
        <v>703812</v>
      </c>
      <c r="K345" s="5">
        <v>214255721.58000001</v>
      </c>
      <c r="L345" s="9">
        <v>135616</v>
      </c>
      <c r="N345" s="4" t="s">
        <v>748</v>
      </c>
      <c r="O345">
        <f t="shared" si="11"/>
        <v>668463</v>
      </c>
    </row>
    <row r="346" spans="1:15" x14ac:dyDescent="0.25">
      <c r="A346" s="3">
        <v>4125001</v>
      </c>
      <c r="B346" s="3" t="s">
        <v>257</v>
      </c>
      <c r="C346" s="6">
        <v>12685</v>
      </c>
      <c r="D346">
        <v>551307</v>
      </c>
      <c r="E346" s="6">
        <v>668</v>
      </c>
      <c r="F346" s="6">
        <v>984</v>
      </c>
      <c r="G346" s="6">
        <v>279</v>
      </c>
      <c r="H346" s="7">
        <v>35</v>
      </c>
      <c r="I346" s="7">
        <v>30</v>
      </c>
      <c r="J346" s="7">
        <f t="shared" si="10"/>
        <v>565988</v>
      </c>
      <c r="K346" s="5">
        <v>308506719.13999999</v>
      </c>
      <c r="L346" s="9">
        <v>331260</v>
      </c>
      <c r="N346" s="4" t="s">
        <v>749</v>
      </c>
      <c r="O346">
        <f t="shared" si="11"/>
        <v>551307</v>
      </c>
    </row>
    <row r="347" spans="1:15" x14ac:dyDescent="0.25">
      <c r="A347" s="3">
        <v>4125100</v>
      </c>
      <c r="B347" s="3" t="s">
        <v>395</v>
      </c>
      <c r="C347" s="6">
        <v>3101</v>
      </c>
      <c r="D347">
        <v>17900</v>
      </c>
      <c r="E347" s="6">
        <v>1503</v>
      </c>
      <c r="F347" s="6">
        <v>6576</v>
      </c>
      <c r="G347" s="6">
        <v>585</v>
      </c>
      <c r="H347" s="7">
        <v>113</v>
      </c>
      <c r="I347" s="7">
        <v>40</v>
      </c>
      <c r="J347" s="7">
        <f t="shared" si="10"/>
        <v>29818</v>
      </c>
      <c r="K347" s="5">
        <v>569344403.84000003</v>
      </c>
      <c r="L347" s="9">
        <v>604519</v>
      </c>
      <c r="N347" s="4" t="s">
        <v>750</v>
      </c>
      <c r="O347">
        <f t="shared" si="11"/>
        <v>17900</v>
      </c>
    </row>
    <row r="348" spans="1:15" x14ac:dyDescent="0.25">
      <c r="A348" s="3">
        <v>4125308</v>
      </c>
      <c r="B348" s="3" t="s">
        <v>305</v>
      </c>
      <c r="C348" s="6">
        <v>830</v>
      </c>
      <c r="D348">
        <v>2916715</v>
      </c>
      <c r="E348" s="6">
        <v>75</v>
      </c>
      <c r="F348" s="6">
        <v>479</v>
      </c>
      <c r="G348" s="6">
        <v>66</v>
      </c>
      <c r="H348" s="7">
        <v>20</v>
      </c>
      <c r="I348" s="7">
        <v>10</v>
      </c>
      <c r="J348" s="7">
        <f t="shared" si="10"/>
        <v>2918195</v>
      </c>
      <c r="K348" s="5">
        <v>484870540.12</v>
      </c>
      <c r="L348" s="9">
        <v>356970</v>
      </c>
      <c r="N348" s="4" t="s">
        <v>751</v>
      </c>
      <c r="O348">
        <f t="shared" si="11"/>
        <v>2916715</v>
      </c>
    </row>
    <row r="349" spans="1:15" x14ac:dyDescent="0.25">
      <c r="A349" s="3">
        <v>4125209</v>
      </c>
      <c r="B349" s="3" t="s">
        <v>41</v>
      </c>
      <c r="C349" s="6">
        <v>37466</v>
      </c>
      <c r="D349">
        <v>2744336</v>
      </c>
      <c r="E349" s="6">
        <v>1102</v>
      </c>
      <c r="F349" s="6">
        <v>11622</v>
      </c>
      <c r="G349" s="6">
        <v>490</v>
      </c>
      <c r="H349" s="7">
        <v>69</v>
      </c>
      <c r="I349" s="7">
        <v>29</v>
      </c>
      <c r="J349" s="7">
        <f t="shared" si="10"/>
        <v>2795114</v>
      </c>
      <c r="K349" s="5">
        <v>224379070.97</v>
      </c>
      <c r="L349" s="9">
        <v>191206</v>
      </c>
      <c r="N349" s="4" t="s">
        <v>752</v>
      </c>
      <c r="O349">
        <f t="shared" si="11"/>
        <v>2744336</v>
      </c>
    </row>
    <row r="350" spans="1:15" x14ac:dyDescent="0.25">
      <c r="A350" s="3">
        <v>4125357</v>
      </c>
      <c r="B350" s="3" t="s">
        <v>380</v>
      </c>
      <c r="C350" s="6">
        <v>40991</v>
      </c>
      <c r="D350">
        <v>752000</v>
      </c>
      <c r="E350" s="6">
        <v>404</v>
      </c>
      <c r="F350" s="6">
        <v>948</v>
      </c>
      <c r="G350" s="6">
        <v>98</v>
      </c>
      <c r="H350" s="7">
        <v>0</v>
      </c>
      <c r="I350" s="7">
        <v>3</v>
      </c>
      <c r="J350" s="7">
        <f t="shared" si="10"/>
        <v>794444</v>
      </c>
      <c r="K350" s="5">
        <v>681501142.49000001</v>
      </c>
      <c r="L350" s="9">
        <v>353863</v>
      </c>
      <c r="N350" s="4" t="s">
        <v>753</v>
      </c>
      <c r="O350">
        <f t="shared" si="11"/>
        <v>752000</v>
      </c>
    </row>
    <row r="351" spans="1:15" x14ac:dyDescent="0.25">
      <c r="A351" s="3">
        <v>4125407</v>
      </c>
      <c r="B351" s="3" t="s">
        <v>275</v>
      </c>
      <c r="C351" s="6">
        <v>13568</v>
      </c>
      <c r="D351">
        <v>138328</v>
      </c>
      <c r="E351" s="6">
        <v>453</v>
      </c>
      <c r="F351" s="6">
        <v>59</v>
      </c>
      <c r="G351" s="6">
        <v>395</v>
      </c>
      <c r="H351" s="7">
        <v>16</v>
      </c>
      <c r="I351" s="7">
        <v>39</v>
      </c>
      <c r="J351" s="7">
        <f t="shared" si="10"/>
        <v>152858</v>
      </c>
      <c r="K351" s="5">
        <v>249339041.16</v>
      </c>
      <c r="L351" s="9">
        <v>188283</v>
      </c>
      <c r="N351" s="4" t="s">
        <v>754</v>
      </c>
      <c r="O351">
        <f t="shared" si="11"/>
        <v>138328</v>
      </c>
    </row>
    <row r="352" spans="1:15" x14ac:dyDescent="0.25">
      <c r="A352" s="3">
        <v>4125456</v>
      </c>
      <c r="B352" s="3" t="s">
        <v>377</v>
      </c>
      <c r="C352" s="6">
        <v>22180</v>
      </c>
      <c r="D352">
        <v>270000</v>
      </c>
      <c r="E352" s="6">
        <v>499</v>
      </c>
      <c r="F352" s="6">
        <v>25962</v>
      </c>
      <c r="G352" s="6">
        <v>374</v>
      </c>
      <c r="H352" s="7">
        <v>72</v>
      </c>
      <c r="I352" s="7">
        <v>70</v>
      </c>
      <c r="J352" s="7">
        <f t="shared" si="10"/>
        <v>319157</v>
      </c>
      <c r="K352" s="5">
        <v>201719827.56</v>
      </c>
      <c r="L352" s="9">
        <v>90733</v>
      </c>
      <c r="N352" s="4" t="s">
        <v>414</v>
      </c>
      <c r="O352">
        <f t="shared" si="11"/>
        <v>270000</v>
      </c>
    </row>
    <row r="353" spans="1:15" x14ac:dyDescent="0.25">
      <c r="A353" s="3">
        <v>4125506</v>
      </c>
      <c r="B353" s="3" t="s">
        <v>217</v>
      </c>
      <c r="C353" s="6">
        <v>8742</v>
      </c>
      <c r="D353">
        <v>460720</v>
      </c>
      <c r="E353" s="6">
        <v>2981</v>
      </c>
      <c r="F353" s="6">
        <v>1289</v>
      </c>
      <c r="G353" s="6">
        <v>3084</v>
      </c>
      <c r="H353" s="7">
        <v>203</v>
      </c>
      <c r="I353" s="7">
        <v>49</v>
      </c>
      <c r="J353" s="7">
        <f t="shared" si="10"/>
        <v>477068</v>
      </c>
      <c r="K353" s="5">
        <v>904087409.63999999</v>
      </c>
      <c r="L353" s="9">
        <v>22092824</v>
      </c>
      <c r="N353" s="4" t="s">
        <v>755</v>
      </c>
      <c r="O353">
        <f t="shared" si="11"/>
        <v>460720</v>
      </c>
    </row>
    <row r="354" spans="1:15" x14ac:dyDescent="0.25">
      <c r="A354" s="3">
        <v>4125555</v>
      </c>
      <c r="B354" s="3" t="s">
        <v>178</v>
      </c>
      <c r="C354" s="6">
        <v>2300</v>
      </c>
      <c r="D354">
        <v>250000</v>
      </c>
      <c r="E354" s="6">
        <v>58</v>
      </c>
      <c r="F354" s="6">
        <v>391</v>
      </c>
      <c r="G354" s="6">
        <v>89</v>
      </c>
      <c r="H354" s="7">
        <v>8</v>
      </c>
      <c r="I354" s="7">
        <v>24</v>
      </c>
      <c r="J354" s="7">
        <f t="shared" si="10"/>
        <v>252870</v>
      </c>
      <c r="K354" s="5">
        <v>429624174.74000001</v>
      </c>
      <c r="L354" s="9">
        <v>61054</v>
      </c>
      <c r="N354" s="4" t="s">
        <v>756</v>
      </c>
      <c r="O354">
        <f t="shared" si="11"/>
        <v>250000</v>
      </c>
    </row>
    <row r="355" spans="1:15" x14ac:dyDescent="0.25">
      <c r="A355" s="3">
        <v>4125605</v>
      </c>
      <c r="B355" s="3" t="s">
        <v>125</v>
      </c>
      <c r="C355" s="6">
        <v>11376</v>
      </c>
      <c r="D355">
        <v>98000</v>
      </c>
      <c r="E355" s="6">
        <v>4192</v>
      </c>
      <c r="F355" s="6">
        <v>3406</v>
      </c>
      <c r="G355" s="6">
        <v>1535</v>
      </c>
      <c r="H355" s="7">
        <v>126</v>
      </c>
      <c r="I355" s="7">
        <v>56</v>
      </c>
      <c r="J355" s="7">
        <f t="shared" si="10"/>
        <v>118691</v>
      </c>
      <c r="K355" s="5">
        <v>974833440.5</v>
      </c>
      <c r="L355" s="9">
        <v>1305883</v>
      </c>
      <c r="N355" s="4" t="s">
        <v>422</v>
      </c>
      <c r="O355">
        <f t="shared" si="11"/>
        <v>98000</v>
      </c>
    </row>
    <row r="356" spans="1:15" x14ac:dyDescent="0.25">
      <c r="A356" s="3">
        <v>4125704</v>
      </c>
      <c r="B356" s="3" t="s">
        <v>18</v>
      </c>
      <c r="C356" s="6">
        <v>15873</v>
      </c>
      <c r="D356">
        <v>7579118</v>
      </c>
      <c r="E356" s="6">
        <v>2166</v>
      </c>
      <c r="F356" s="6">
        <v>112058</v>
      </c>
      <c r="G356" s="6">
        <v>289</v>
      </c>
      <c r="H356" s="7">
        <v>445</v>
      </c>
      <c r="I356" s="7">
        <v>8</v>
      </c>
      <c r="J356" s="7">
        <f t="shared" si="10"/>
        <v>7709957</v>
      </c>
      <c r="K356" s="5">
        <v>1780837843.3800001</v>
      </c>
      <c r="L356" s="9">
        <v>1206136</v>
      </c>
      <c r="N356" s="4" t="s">
        <v>757</v>
      </c>
      <c r="O356">
        <f t="shared" si="11"/>
        <v>7579118</v>
      </c>
    </row>
    <row r="357" spans="1:15" x14ac:dyDescent="0.25">
      <c r="A357" s="3">
        <v>4125753</v>
      </c>
      <c r="B357" s="3" t="s">
        <v>379</v>
      </c>
      <c r="C357" s="6">
        <v>16224</v>
      </c>
      <c r="D357">
        <v>370000</v>
      </c>
      <c r="E357" s="6">
        <v>822</v>
      </c>
      <c r="F357" s="6">
        <v>76993</v>
      </c>
      <c r="G357" s="6">
        <v>234</v>
      </c>
      <c r="H357" s="7">
        <v>69</v>
      </c>
      <c r="I357" s="7">
        <v>30</v>
      </c>
      <c r="J357" s="7">
        <f t="shared" si="10"/>
        <v>464372</v>
      </c>
      <c r="K357" s="5">
        <v>491270717.85000002</v>
      </c>
      <c r="L357" s="9">
        <v>253140</v>
      </c>
      <c r="N357" s="4" t="s">
        <v>758</v>
      </c>
      <c r="O357">
        <f t="shared" si="11"/>
        <v>370000</v>
      </c>
    </row>
    <row r="358" spans="1:15" x14ac:dyDescent="0.25">
      <c r="A358" s="3">
        <v>4125803</v>
      </c>
      <c r="B358" s="3" t="s">
        <v>258</v>
      </c>
      <c r="C358" s="6">
        <v>9428</v>
      </c>
      <c r="D358">
        <v>403707</v>
      </c>
      <c r="E358" s="6">
        <v>187</v>
      </c>
      <c r="F358" s="6">
        <v>332</v>
      </c>
      <c r="G358" s="6">
        <v>136</v>
      </c>
      <c r="H358" s="7">
        <v>29</v>
      </c>
      <c r="I358" s="7">
        <v>27</v>
      </c>
      <c r="J358" s="7">
        <f t="shared" si="10"/>
        <v>413846</v>
      </c>
      <c r="K358" s="5">
        <v>218237086.22</v>
      </c>
      <c r="L358" s="9">
        <v>344643</v>
      </c>
      <c r="N358" s="4" t="s">
        <v>759</v>
      </c>
      <c r="O358">
        <f t="shared" si="11"/>
        <v>403707</v>
      </c>
    </row>
    <row r="359" spans="1:15" x14ac:dyDescent="0.25">
      <c r="A359" s="3">
        <v>4125902</v>
      </c>
      <c r="B359" s="3" t="s">
        <v>324</v>
      </c>
      <c r="C359" s="6">
        <v>26584</v>
      </c>
      <c r="D359">
        <v>178143</v>
      </c>
      <c r="E359" s="6">
        <v>368</v>
      </c>
      <c r="F359" s="6">
        <v>147</v>
      </c>
      <c r="G359" s="6">
        <v>321</v>
      </c>
      <c r="H359" s="7">
        <v>13</v>
      </c>
      <c r="I359" s="7">
        <v>17</v>
      </c>
      <c r="J359" s="7">
        <f t="shared" si="10"/>
        <v>205593</v>
      </c>
      <c r="K359" s="5">
        <v>129407530.28</v>
      </c>
      <c r="L359" s="9">
        <v>86302</v>
      </c>
      <c r="N359" s="4" t="s">
        <v>760</v>
      </c>
      <c r="O359">
        <f t="shared" si="11"/>
        <v>178143</v>
      </c>
    </row>
    <row r="360" spans="1:15" x14ac:dyDescent="0.25">
      <c r="A360" s="3">
        <v>4126009</v>
      </c>
      <c r="B360" s="3" t="s">
        <v>183</v>
      </c>
      <c r="C360" s="6">
        <v>1246</v>
      </c>
      <c r="D360">
        <v>120000</v>
      </c>
      <c r="E360" s="6">
        <v>34</v>
      </c>
      <c r="F360" s="6">
        <v>57</v>
      </c>
      <c r="G360" s="6">
        <v>88</v>
      </c>
      <c r="H360" s="7">
        <v>17</v>
      </c>
      <c r="I360" s="7">
        <v>8</v>
      </c>
      <c r="J360" s="7">
        <f t="shared" si="10"/>
        <v>121450</v>
      </c>
      <c r="K360" s="5">
        <v>204994751.78</v>
      </c>
      <c r="L360" s="9">
        <v>243782</v>
      </c>
      <c r="N360" s="4" t="s">
        <v>761</v>
      </c>
      <c r="O360">
        <f t="shared" si="11"/>
        <v>120000</v>
      </c>
    </row>
    <row r="361" spans="1:15" x14ac:dyDescent="0.25">
      <c r="A361" s="3">
        <v>4126108</v>
      </c>
      <c r="B361" s="3" t="s">
        <v>174</v>
      </c>
      <c r="C361" s="6">
        <v>7653</v>
      </c>
      <c r="D361">
        <v>1100000</v>
      </c>
      <c r="E361" s="6">
        <v>228</v>
      </c>
      <c r="F361" s="6">
        <v>225</v>
      </c>
      <c r="G361" s="6">
        <v>70</v>
      </c>
      <c r="H361" s="7">
        <v>0</v>
      </c>
      <c r="I361" s="7">
        <v>13</v>
      </c>
      <c r="J361" s="7">
        <f t="shared" si="10"/>
        <v>1108189</v>
      </c>
      <c r="K361" s="5">
        <v>258009596.19</v>
      </c>
      <c r="L361" s="9">
        <v>157519</v>
      </c>
      <c r="N361" s="4" t="s">
        <v>762</v>
      </c>
      <c r="O361">
        <f t="shared" si="11"/>
        <v>1100000</v>
      </c>
    </row>
    <row r="362" spans="1:15" x14ac:dyDescent="0.25">
      <c r="A362" s="3">
        <v>4126207</v>
      </c>
      <c r="B362" s="3" t="s">
        <v>197</v>
      </c>
      <c r="C362" s="6">
        <v>51572</v>
      </c>
      <c r="D362">
        <v>8500</v>
      </c>
      <c r="E362" s="6">
        <v>871</v>
      </c>
      <c r="F362" s="6">
        <v>1152</v>
      </c>
      <c r="G362" s="6">
        <v>1116</v>
      </c>
      <c r="H362" s="7">
        <v>209</v>
      </c>
      <c r="I362" s="7">
        <v>86</v>
      </c>
      <c r="J362" s="7">
        <f t="shared" si="10"/>
        <v>63506</v>
      </c>
      <c r="K362" s="5">
        <v>191864055.84999999</v>
      </c>
      <c r="L362" s="9">
        <v>135527</v>
      </c>
      <c r="N362" s="4" t="s">
        <v>412</v>
      </c>
      <c r="O362">
        <f t="shared" si="11"/>
        <v>8500</v>
      </c>
    </row>
    <row r="363" spans="1:15" x14ac:dyDescent="0.25">
      <c r="A363" s="3">
        <v>4126256</v>
      </c>
      <c r="B363" s="3" t="s">
        <v>312</v>
      </c>
      <c r="C363" s="6">
        <v>1169</v>
      </c>
      <c r="D363">
        <v>357867</v>
      </c>
      <c r="E363" s="6">
        <v>135</v>
      </c>
      <c r="F363" s="6">
        <v>301</v>
      </c>
      <c r="G363" s="6">
        <v>31</v>
      </c>
      <c r="H363" s="7">
        <v>11</v>
      </c>
      <c r="I363" s="7">
        <v>8</v>
      </c>
      <c r="J363" s="7">
        <f t="shared" si="10"/>
        <v>359522</v>
      </c>
      <c r="K363" s="5">
        <v>116749015.84</v>
      </c>
      <c r="L363" s="9">
        <v>1811994</v>
      </c>
      <c r="N363" s="4" t="s">
        <v>763</v>
      </c>
      <c r="O363">
        <f t="shared" si="11"/>
        <v>357867</v>
      </c>
    </row>
    <row r="364" spans="1:15" x14ac:dyDescent="0.25">
      <c r="A364" s="3">
        <v>4126272</v>
      </c>
      <c r="B364" s="3" t="s">
        <v>343</v>
      </c>
      <c r="C364" s="6">
        <v>16270</v>
      </c>
      <c r="D364">
        <v>1170854</v>
      </c>
      <c r="E364" s="6">
        <v>305</v>
      </c>
      <c r="F364" s="6">
        <v>332</v>
      </c>
      <c r="G364" s="6">
        <v>172</v>
      </c>
      <c r="H364" s="7">
        <v>38</v>
      </c>
      <c r="I364" s="7">
        <v>8</v>
      </c>
      <c r="J364" s="7">
        <f t="shared" si="10"/>
        <v>1187979</v>
      </c>
      <c r="K364" s="5">
        <v>295401532.13999999</v>
      </c>
      <c r="L364" s="9">
        <v>696575</v>
      </c>
      <c r="N364" s="4" t="s">
        <v>764</v>
      </c>
      <c r="O364">
        <f t="shared" si="11"/>
        <v>1170854</v>
      </c>
    </row>
    <row r="365" spans="1:15" x14ac:dyDescent="0.25">
      <c r="A365" s="3">
        <v>4126306</v>
      </c>
      <c r="B365" s="3" t="s">
        <v>107</v>
      </c>
      <c r="C365" s="6">
        <v>20824</v>
      </c>
      <c r="D365">
        <v>19952</v>
      </c>
      <c r="E365" s="6">
        <v>1021</v>
      </c>
      <c r="F365" s="6">
        <v>1535</v>
      </c>
      <c r="G365" s="6">
        <v>782</v>
      </c>
      <c r="H365" s="7">
        <v>70</v>
      </c>
      <c r="I365" s="7">
        <v>37</v>
      </c>
      <c r="J365" s="7">
        <f t="shared" si="10"/>
        <v>44221</v>
      </c>
      <c r="K365" s="5">
        <v>502548283.05000001</v>
      </c>
      <c r="L365" s="9">
        <v>550995</v>
      </c>
      <c r="N365" s="4" t="s">
        <v>765</v>
      </c>
      <c r="O365">
        <f t="shared" si="11"/>
        <v>19952</v>
      </c>
    </row>
    <row r="366" spans="1:15" x14ac:dyDescent="0.25">
      <c r="A366" s="3">
        <v>4126355</v>
      </c>
      <c r="B366" s="3" t="s">
        <v>166</v>
      </c>
      <c r="C366" s="6">
        <v>5190</v>
      </c>
      <c r="D366">
        <v>2738670</v>
      </c>
      <c r="E366" s="6">
        <v>790</v>
      </c>
      <c r="F366" s="6">
        <v>103213</v>
      </c>
      <c r="G366" s="6">
        <v>20</v>
      </c>
      <c r="H366" s="7">
        <v>29</v>
      </c>
      <c r="I366" s="7">
        <v>2</v>
      </c>
      <c r="J366" s="7">
        <f t="shared" si="10"/>
        <v>2847914</v>
      </c>
      <c r="K366" s="5">
        <v>662328573.77999997</v>
      </c>
      <c r="L366" s="9">
        <v>244829</v>
      </c>
      <c r="N366" s="4" t="s">
        <v>766</v>
      </c>
      <c r="O366">
        <f t="shared" si="11"/>
        <v>2738670</v>
      </c>
    </row>
    <row r="367" spans="1:15" x14ac:dyDescent="0.25">
      <c r="A367" s="3">
        <v>4126405</v>
      </c>
      <c r="B367" s="3" t="s">
        <v>189</v>
      </c>
      <c r="C367" s="6">
        <v>2078</v>
      </c>
      <c r="D367">
        <v>98000</v>
      </c>
      <c r="E367" s="6">
        <v>102</v>
      </c>
      <c r="F367" s="6">
        <v>137</v>
      </c>
      <c r="G367" s="6">
        <v>81</v>
      </c>
      <c r="H367" s="7">
        <v>1</v>
      </c>
      <c r="I367" s="7">
        <v>6</v>
      </c>
      <c r="J367" s="7">
        <f t="shared" si="10"/>
        <v>100405</v>
      </c>
      <c r="K367" s="5">
        <v>260344127.81</v>
      </c>
      <c r="L367" s="9">
        <v>345411</v>
      </c>
      <c r="N367" s="4" t="s">
        <v>422</v>
      </c>
      <c r="O367">
        <f t="shared" si="11"/>
        <v>98000</v>
      </c>
    </row>
    <row r="368" spans="1:15" x14ac:dyDescent="0.25">
      <c r="A368" s="3">
        <v>4126504</v>
      </c>
      <c r="B368" s="3" t="s">
        <v>75</v>
      </c>
      <c r="C368" s="6">
        <v>11326</v>
      </c>
      <c r="D368">
        <v>410363</v>
      </c>
      <c r="E368" s="6">
        <v>826</v>
      </c>
      <c r="F368" s="6">
        <v>1408</v>
      </c>
      <c r="G368" s="6">
        <v>469</v>
      </c>
      <c r="H368" s="7">
        <v>70</v>
      </c>
      <c r="I368" s="7">
        <v>45</v>
      </c>
      <c r="J368" s="7">
        <f t="shared" si="10"/>
        <v>424507</v>
      </c>
      <c r="K368" s="5">
        <v>462263856.74000001</v>
      </c>
      <c r="L368" s="9">
        <v>888536</v>
      </c>
      <c r="N368" s="4" t="s">
        <v>767</v>
      </c>
      <c r="O368">
        <f t="shared" si="11"/>
        <v>410363</v>
      </c>
    </row>
    <row r="369" spans="1:15" x14ac:dyDescent="0.25">
      <c r="A369" s="3">
        <v>4126603</v>
      </c>
      <c r="B369" s="3" t="s">
        <v>63</v>
      </c>
      <c r="C369" s="6">
        <v>31318</v>
      </c>
      <c r="D369">
        <v>2380000</v>
      </c>
      <c r="E369" s="6">
        <v>279</v>
      </c>
      <c r="F369" s="6">
        <v>1068</v>
      </c>
      <c r="G369" s="6">
        <v>737</v>
      </c>
      <c r="H369" s="7">
        <v>50</v>
      </c>
      <c r="I369" s="7">
        <v>99</v>
      </c>
      <c r="J369" s="7">
        <f t="shared" si="10"/>
        <v>2413551</v>
      </c>
      <c r="K369" s="5">
        <v>465776057.75</v>
      </c>
      <c r="L369" s="9">
        <v>591755</v>
      </c>
      <c r="N369" s="4" t="s">
        <v>768</v>
      </c>
      <c r="O369">
        <f t="shared" si="11"/>
        <v>2380000</v>
      </c>
    </row>
    <row r="370" spans="1:15" x14ac:dyDescent="0.25">
      <c r="A370" s="3">
        <v>4126652</v>
      </c>
      <c r="B370" s="3" t="s">
        <v>344</v>
      </c>
      <c r="C370" s="6">
        <v>18041</v>
      </c>
      <c r="D370">
        <v>1900314</v>
      </c>
      <c r="E370" s="6">
        <v>160</v>
      </c>
      <c r="F370" s="6">
        <v>3883</v>
      </c>
      <c r="G370" s="6">
        <v>150</v>
      </c>
      <c r="H370" s="7">
        <v>49</v>
      </c>
      <c r="I370" s="7">
        <v>6</v>
      </c>
      <c r="J370" s="7">
        <f t="shared" si="10"/>
        <v>1922603</v>
      </c>
      <c r="K370" s="5">
        <v>441644973.86000001</v>
      </c>
      <c r="L370" s="9">
        <v>141940</v>
      </c>
      <c r="N370" s="4" t="s">
        <v>769</v>
      </c>
      <c r="O370">
        <f t="shared" si="11"/>
        <v>1900314</v>
      </c>
    </row>
    <row r="371" spans="1:15" x14ac:dyDescent="0.25">
      <c r="A371" s="3">
        <v>4126678</v>
      </c>
      <c r="B371" s="3" t="s">
        <v>286</v>
      </c>
      <c r="C371" s="6">
        <v>14826</v>
      </c>
      <c r="D371">
        <v>210065</v>
      </c>
      <c r="E371" s="6">
        <v>542</v>
      </c>
      <c r="F371" s="6">
        <v>458</v>
      </c>
      <c r="G371" s="6">
        <v>508</v>
      </c>
      <c r="H371" s="7">
        <v>7</v>
      </c>
      <c r="I371" s="7">
        <v>46</v>
      </c>
      <c r="J371" s="7">
        <f t="shared" si="10"/>
        <v>226452</v>
      </c>
      <c r="K371" s="5">
        <v>419093308.25999999</v>
      </c>
      <c r="L371" s="9">
        <v>1150218</v>
      </c>
      <c r="N371" s="4" t="s">
        <v>770</v>
      </c>
      <c r="O371">
        <f t="shared" si="11"/>
        <v>210065</v>
      </c>
    </row>
    <row r="372" spans="1:15" x14ac:dyDescent="0.25">
      <c r="A372" s="3">
        <v>4126702</v>
      </c>
      <c r="B372" s="3" t="s">
        <v>331</v>
      </c>
      <c r="C372" s="6">
        <v>12815</v>
      </c>
      <c r="D372">
        <v>846305</v>
      </c>
      <c r="E372" s="6">
        <v>391</v>
      </c>
      <c r="F372" s="6">
        <v>208</v>
      </c>
      <c r="G372" s="6">
        <v>227</v>
      </c>
      <c r="H372" s="7">
        <v>0</v>
      </c>
      <c r="I372" s="7">
        <v>21</v>
      </c>
      <c r="J372" s="7">
        <f t="shared" si="10"/>
        <v>859967</v>
      </c>
      <c r="K372" s="5">
        <v>173807718.09999999</v>
      </c>
      <c r="L372" s="9">
        <v>127881</v>
      </c>
      <c r="N372" s="4" t="s">
        <v>771</v>
      </c>
      <c r="O372">
        <f t="shared" si="11"/>
        <v>846305</v>
      </c>
    </row>
    <row r="373" spans="1:15" x14ac:dyDescent="0.25">
      <c r="A373" s="3">
        <v>4126801</v>
      </c>
      <c r="B373" s="3" t="s">
        <v>23</v>
      </c>
      <c r="C373" s="6">
        <v>45682</v>
      </c>
      <c r="D373">
        <v>1300000</v>
      </c>
      <c r="E373" s="6">
        <v>1658</v>
      </c>
      <c r="F373" s="6">
        <v>560</v>
      </c>
      <c r="G373" s="6">
        <v>689</v>
      </c>
      <c r="H373" s="7">
        <v>0</v>
      </c>
      <c r="I373" s="7">
        <v>69</v>
      </c>
      <c r="J373" s="7">
        <f t="shared" si="10"/>
        <v>1348658</v>
      </c>
      <c r="K373" s="5">
        <v>382316495.44999999</v>
      </c>
      <c r="L373" s="9">
        <v>519637</v>
      </c>
      <c r="N373" s="4" t="s">
        <v>772</v>
      </c>
      <c r="O373">
        <f t="shared" si="11"/>
        <v>1300000</v>
      </c>
    </row>
    <row r="374" spans="1:15" x14ac:dyDescent="0.25">
      <c r="A374" s="3">
        <v>4126900</v>
      </c>
      <c r="B374" s="3" t="s">
        <v>176</v>
      </c>
      <c r="C374" s="6">
        <v>57646</v>
      </c>
      <c r="D374">
        <v>768000</v>
      </c>
      <c r="E374" s="6">
        <v>358</v>
      </c>
      <c r="F374" s="6">
        <v>64</v>
      </c>
      <c r="G374" s="6">
        <v>422</v>
      </c>
      <c r="H374" s="7">
        <v>0</v>
      </c>
      <c r="I374" s="7">
        <v>84</v>
      </c>
      <c r="J374" s="7">
        <f t="shared" si="10"/>
        <v>826574</v>
      </c>
      <c r="K374" s="5">
        <v>268648726.49000001</v>
      </c>
      <c r="L374" s="9">
        <v>133261</v>
      </c>
      <c r="N374" s="4" t="s">
        <v>773</v>
      </c>
      <c r="O374">
        <f t="shared" si="11"/>
        <v>768000</v>
      </c>
    </row>
    <row r="375" spans="1:15" x14ac:dyDescent="0.25">
      <c r="A375" s="3">
        <v>4127007</v>
      </c>
      <c r="B375" s="3" t="s">
        <v>55</v>
      </c>
      <c r="C375" s="6">
        <v>12255</v>
      </c>
      <c r="D375">
        <v>898740</v>
      </c>
      <c r="E375" s="6">
        <v>2080</v>
      </c>
      <c r="F375" s="6">
        <v>25928</v>
      </c>
      <c r="G375" s="6">
        <v>532</v>
      </c>
      <c r="H375" s="7">
        <v>100</v>
      </c>
      <c r="I375" s="7">
        <v>14</v>
      </c>
      <c r="J375" s="7">
        <f t="shared" si="10"/>
        <v>939649</v>
      </c>
      <c r="K375" s="5">
        <v>918945034.17999995</v>
      </c>
      <c r="L375" s="9">
        <v>529130</v>
      </c>
      <c r="N375" s="4" t="s">
        <v>774</v>
      </c>
      <c r="O375">
        <f t="shared" si="11"/>
        <v>898740</v>
      </c>
    </row>
    <row r="376" spans="1:15" x14ac:dyDescent="0.25">
      <c r="A376" s="3">
        <v>4127106</v>
      </c>
      <c r="B376" s="3" t="s">
        <v>365</v>
      </c>
      <c r="C376" s="6">
        <v>1054</v>
      </c>
      <c r="D376">
        <v>5743</v>
      </c>
      <c r="E376" s="6">
        <v>200</v>
      </c>
      <c r="F376" s="6">
        <v>361</v>
      </c>
      <c r="G376" s="6">
        <v>356</v>
      </c>
      <c r="H376" s="7">
        <v>37</v>
      </c>
      <c r="I376" s="7">
        <v>11</v>
      </c>
      <c r="J376" s="7">
        <f t="shared" si="10"/>
        <v>7762</v>
      </c>
      <c r="K376" s="5">
        <v>511467422.88</v>
      </c>
      <c r="L376" s="9">
        <v>4220680</v>
      </c>
      <c r="N376" s="4" t="s">
        <v>775</v>
      </c>
      <c r="O376">
        <f t="shared" si="11"/>
        <v>5743</v>
      </c>
    </row>
    <row r="377" spans="1:15" x14ac:dyDescent="0.25">
      <c r="A377" s="3">
        <v>4127205</v>
      </c>
      <c r="B377" s="3" t="s">
        <v>146</v>
      </c>
      <c r="C377" s="6">
        <v>6640</v>
      </c>
      <c r="D377">
        <v>4700000</v>
      </c>
      <c r="E377" s="6">
        <v>601</v>
      </c>
      <c r="F377" s="6">
        <v>705</v>
      </c>
      <c r="G377" s="6">
        <v>182</v>
      </c>
      <c r="H377" s="7">
        <v>13</v>
      </c>
      <c r="I377" s="7">
        <v>15</v>
      </c>
      <c r="J377" s="7">
        <f t="shared" si="10"/>
        <v>4708156</v>
      </c>
      <c r="K377" s="5">
        <v>587716683.33000004</v>
      </c>
      <c r="L377" s="9">
        <v>528130</v>
      </c>
      <c r="N377" s="4" t="s">
        <v>776</v>
      </c>
      <c r="O377">
        <f t="shared" si="11"/>
        <v>4700000</v>
      </c>
    </row>
    <row r="378" spans="1:15" x14ac:dyDescent="0.25">
      <c r="A378" s="3">
        <v>4127304</v>
      </c>
      <c r="B378" s="3" t="s">
        <v>92</v>
      </c>
      <c r="C378" s="6">
        <v>65179</v>
      </c>
      <c r="D378">
        <v>772590</v>
      </c>
      <c r="E378" s="6">
        <v>691</v>
      </c>
      <c r="F378" s="6">
        <v>407</v>
      </c>
      <c r="G378" s="6">
        <v>868</v>
      </c>
      <c r="H378" s="7">
        <v>10</v>
      </c>
      <c r="I378" s="7">
        <v>49</v>
      </c>
      <c r="J378" s="7">
        <f t="shared" si="10"/>
        <v>839794</v>
      </c>
      <c r="K378" s="5">
        <v>425941139.08999997</v>
      </c>
      <c r="L378" s="9">
        <v>359495</v>
      </c>
      <c r="N378" s="4" t="s">
        <v>777</v>
      </c>
      <c r="O378">
        <f t="shared" si="11"/>
        <v>772590</v>
      </c>
    </row>
    <row r="379" spans="1:15" x14ac:dyDescent="0.25">
      <c r="A379" s="3">
        <v>4127403</v>
      </c>
      <c r="B379" s="3" t="s">
        <v>370</v>
      </c>
      <c r="C379" s="6">
        <v>14657</v>
      </c>
      <c r="D379">
        <v>1845000</v>
      </c>
      <c r="E379" s="6">
        <v>868</v>
      </c>
      <c r="F379" s="6">
        <v>9097</v>
      </c>
      <c r="G379" s="6">
        <v>438</v>
      </c>
      <c r="H379" s="7">
        <v>52</v>
      </c>
      <c r="I379" s="7">
        <v>30</v>
      </c>
      <c r="J379" s="7">
        <f t="shared" si="10"/>
        <v>1870142</v>
      </c>
      <c r="K379" s="5">
        <v>748450238.36000001</v>
      </c>
      <c r="L379" s="9">
        <v>913036</v>
      </c>
      <c r="N379" s="4" t="s">
        <v>778</v>
      </c>
      <c r="O379">
        <f t="shared" si="11"/>
        <v>1845000</v>
      </c>
    </row>
    <row r="380" spans="1:15" x14ac:dyDescent="0.25">
      <c r="A380" s="3">
        <v>4127502</v>
      </c>
      <c r="B380" s="3" t="s">
        <v>108</v>
      </c>
      <c r="C380" s="6">
        <v>30360</v>
      </c>
      <c r="D380">
        <v>250000</v>
      </c>
      <c r="E380" s="6">
        <v>5172</v>
      </c>
      <c r="F380" s="6">
        <v>49645</v>
      </c>
      <c r="G380" s="6">
        <v>1732</v>
      </c>
      <c r="H380" s="7">
        <v>212</v>
      </c>
      <c r="I380" s="7">
        <v>80</v>
      </c>
      <c r="J380" s="7">
        <f t="shared" si="10"/>
        <v>337201</v>
      </c>
      <c r="K380" s="5">
        <v>1629313848.25</v>
      </c>
      <c r="L380" s="9">
        <v>1182986</v>
      </c>
      <c r="N380" s="4" t="s">
        <v>756</v>
      </c>
      <c r="O380">
        <f t="shared" si="11"/>
        <v>250000</v>
      </c>
    </row>
    <row r="381" spans="1:15" x14ac:dyDescent="0.25">
      <c r="A381" s="3">
        <v>4127601</v>
      </c>
      <c r="B381" s="3" t="s">
        <v>218</v>
      </c>
      <c r="C381" s="6">
        <v>5051</v>
      </c>
      <c r="D381">
        <v>68000</v>
      </c>
      <c r="E381" s="6">
        <v>1866</v>
      </c>
      <c r="F381" s="6">
        <v>1142</v>
      </c>
      <c r="G381" s="6">
        <v>3055</v>
      </c>
      <c r="H381" s="7">
        <v>110</v>
      </c>
      <c r="I381" s="7">
        <v>26</v>
      </c>
      <c r="J381" s="7">
        <f t="shared" si="10"/>
        <v>79250</v>
      </c>
      <c r="K381" s="5">
        <v>224147474.19999999</v>
      </c>
      <c r="L381" s="9">
        <v>420352</v>
      </c>
      <c r="N381" s="4" t="s">
        <v>779</v>
      </c>
      <c r="O381">
        <f t="shared" si="11"/>
        <v>68000</v>
      </c>
    </row>
    <row r="382" spans="1:15" x14ac:dyDescent="0.25">
      <c r="A382" s="3">
        <v>4127700</v>
      </c>
      <c r="B382" s="3" t="s">
        <v>110</v>
      </c>
      <c r="C382" s="6">
        <v>38168</v>
      </c>
      <c r="D382">
        <v>12071286</v>
      </c>
      <c r="E382" s="6">
        <v>5420</v>
      </c>
      <c r="F382" s="6">
        <v>1118101</v>
      </c>
      <c r="G382" s="6">
        <v>707</v>
      </c>
      <c r="H382" s="7">
        <v>479</v>
      </c>
      <c r="I382" s="7">
        <v>39</v>
      </c>
      <c r="J382" s="7">
        <f t="shared" si="10"/>
        <v>13234200</v>
      </c>
      <c r="K382" s="5">
        <v>4720354755.04</v>
      </c>
      <c r="L382" s="9">
        <v>6784000</v>
      </c>
      <c r="N382" s="4" t="s">
        <v>780</v>
      </c>
      <c r="O382">
        <f t="shared" si="11"/>
        <v>12071286</v>
      </c>
    </row>
    <row r="383" spans="1:15" x14ac:dyDescent="0.25">
      <c r="A383" s="3">
        <v>4127809</v>
      </c>
      <c r="B383" s="3" t="s">
        <v>273</v>
      </c>
      <c r="C383" s="6">
        <v>58403</v>
      </c>
      <c r="D383">
        <v>1300000</v>
      </c>
      <c r="E383" s="6">
        <v>323</v>
      </c>
      <c r="F383" s="6">
        <v>18</v>
      </c>
      <c r="G383" s="6">
        <v>619</v>
      </c>
      <c r="H383" s="7">
        <v>17</v>
      </c>
      <c r="I383" s="7">
        <v>44</v>
      </c>
      <c r="J383" s="7">
        <f t="shared" si="10"/>
        <v>1359424</v>
      </c>
      <c r="K383" s="5">
        <v>572621644.32000005</v>
      </c>
      <c r="L383" s="9">
        <v>261929</v>
      </c>
      <c r="N383" s="4" t="s">
        <v>772</v>
      </c>
      <c r="O383">
        <f t="shared" si="11"/>
        <v>1300000</v>
      </c>
    </row>
    <row r="384" spans="1:15" x14ac:dyDescent="0.25">
      <c r="A384" s="3">
        <v>4127858</v>
      </c>
      <c r="B384" s="3" t="s">
        <v>19</v>
      </c>
      <c r="C384" s="6">
        <v>46907</v>
      </c>
      <c r="D384">
        <v>2500000</v>
      </c>
      <c r="E384" s="6">
        <v>917</v>
      </c>
      <c r="F384" s="6">
        <v>93061</v>
      </c>
      <c r="G384" s="6">
        <v>655</v>
      </c>
      <c r="H384" s="7">
        <v>146</v>
      </c>
      <c r="I384" s="7">
        <v>37</v>
      </c>
      <c r="J384" s="7">
        <f t="shared" si="10"/>
        <v>2641723</v>
      </c>
      <c r="K384" s="5">
        <v>799161367.34000003</v>
      </c>
      <c r="L384" s="9">
        <v>434777</v>
      </c>
      <c r="N384" s="4" t="s">
        <v>781</v>
      </c>
      <c r="O384">
        <f t="shared" si="11"/>
        <v>2500000</v>
      </c>
    </row>
    <row r="385" spans="1:15" x14ac:dyDescent="0.25">
      <c r="A385" s="3">
        <v>4127882</v>
      </c>
      <c r="B385" s="3" t="s">
        <v>198</v>
      </c>
      <c r="C385" s="6">
        <v>1455</v>
      </c>
      <c r="D385">
        <v>3280</v>
      </c>
      <c r="E385" s="6">
        <v>122</v>
      </c>
      <c r="F385" s="6">
        <v>8</v>
      </c>
      <c r="G385" s="6">
        <v>22</v>
      </c>
      <c r="H385" s="7">
        <v>7</v>
      </c>
      <c r="I385" s="7">
        <v>1</v>
      </c>
      <c r="J385" s="7">
        <f t="shared" si="10"/>
        <v>4895</v>
      </c>
      <c r="K385" s="5">
        <v>130526208.63</v>
      </c>
      <c r="L385" s="9">
        <v>122500</v>
      </c>
      <c r="N385" s="4" t="s">
        <v>782</v>
      </c>
      <c r="O385">
        <f t="shared" si="11"/>
        <v>3280</v>
      </c>
    </row>
    <row r="386" spans="1:15" x14ac:dyDescent="0.25">
      <c r="A386" s="3">
        <v>4127908</v>
      </c>
      <c r="B386" s="3" t="s">
        <v>179</v>
      </c>
      <c r="C386" s="6">
        <v>36188</v>
      </c>
      <c r="D386">
        <v>1500000</v>
      </c>
      <c r="E386" s="6">
        <v>437</v>
      </c>
      <c r="F386" s="6">
        <v>908</v>
      </c>
      <c r="G386" s="6">
        <v>674</v>
      </c>
      <c r="H386" s="7">
        <v>3</v>
      </c>
      <c r="I386" s="7">
        <v>50</v>
      </c>
      <c r="J386" s="7">
        <f t="shared" si="10"/>
        <v>1538260</v>
      </c>
      <c r="K386" s="5">
        <v>484638276.89999998</v>
      </c>
      <c r="L386" s="9">
        <v>255077</v>
      </c>
      <c r="N386" s="4" t="s">
        <v>615</v>
      </c>
      <c r="O386">
        <f t="shared" si="11"/>
        <v>1500000</v>
      </c>
    </row>
    <row r="387" spans="1:15" x14ac:dyDescent="0.25">
      <c r="A387" s="3">
        <v>4127957</v>
      </c>
      <c r="B387" s="3" t="s">
        <v>369</v>
      </c>
      <c r="C387" s="6">
        <v>2367</v>
      </c>
      <c r="D387">
        <v>2269835</v>
      </c>
      <c r="E387" s="6">
        <v>741</v>
      </c>
      <c r="F387" s="6">
        <v>61741</v>
      </c>
      <c r="G387" s="6">
        <v>26</v>
      </c>
      <c r="H387" s="7">
        <v>24</v>
      </c>
      <c r="I387" s="7">
        <v>1</v>
      </c>
      <c r="J387" s="7">
        <f t="shared" ref="J387:J400" si="12">SUM(C387+D387+E387+F387+G387+H387+I387)</f>
        <v>2334735</v>
      </c>
      <c r="K387" s="5">
        <v>746393763.24000001</v>
      </c>
      <c r="L387" s="9">
        <v>413274</v>
      </c>
      <c r="N387" s="4" t="s">
        <v>783</v>
      </c>
      <c r="O387">
        <f t="shared" ref="O387:O400" si="13">N387*1</f>
        <v>2269835</v>
      </c>
    </row>
    <row r="388" spans="1:15" x14ac:dyDescent="0.25">
      <c r="A388" s="3">
        <v>4127965</v>
      </c>
      <c r="B388" s="3" t="s">
        <v>51</v>
      </c>
      <c r="C388" s="6">
        <v>36247</v>
      </c>
      <c r="D388">
        <v>51600</v>
      </c>
      <c r="E388" s="6">
        <v>3593</v>
      </c>
      <c r="F388" s="6">
        <v>1152</v>
      </c>
      <c r="G388" s="6">
        <v>794</v>
      </c>
      <c r="H388" s="7">
        <v>173</v>
      </c>
      <c r="I388" s="7">
        <v>66</v>
      </c>
      <c r="J388" s="7">
        <f t="shared" si="12"/>
        <v>93625</v>
      </c>
      <c r="K388" s="5">
        <v>465530167.44999999</v>
      </c>
      <c r="L388" s="9">
        <v>543556</v>
      </c>
      <c r="N388" s="4" t="s">
        <v>784</v>
      </c>
      <c r="O388">
        <f t="shared" si="13"/>
        <v>51600</v>
      </c>
    </row>
    <row r="389" spans="1:15" x14ac:dyDescent="0.25">
      <c r="A389" s="3">
        <v>4128005</v>
      </c>
      <c r="B389" s="3" t="s">
        <v>154</v>
      </c>
      <c r="C389" s="6">
        <v>13205</v>
      </c>
      <c r="D389">
        <v>5725200</v>
      </c>
      <c r="E389" s="6">
        <v>541</v>
      </c>
      <c r="F389" s="6">
        <v>457</v>
      </c>
      <c r="G389" s="6">
        <v>291</v>
      </c>
      <c r="H389" s="7">
        <v>93</v>
      </c>
      <c r="I389" s="7">
        <v>16</v>
      </c>
      <c r="J389" s="7">
        <f t="shared" si="12"/>
        <v>5739803</v>
      </c>
      <c r="K389" s="5">
        <v>1283209044.95</v>
      </c>
      <c r="L389" s="9">
        <v>1601884</v>
      </c>
      <c r="N389" s="4" t="s">
        <v>785</v>
      </c>
      <c r="O389">
        <f t="shared" si="13"/>
        <v>5725200</v>
      </c>
    </row>
    <row r="390" spans="1:15" x14ac:dyDescent="0.25">
      <c r="A390" s="3">
        <v>4128104</v>
      </c>
      <c r="B390" s="3" t="s">
        <v>116</v>
      </c>
      <c r="C390" s="6">
        <v>142277</v>
      </c>
      <c r="D390">
        <v>2000000</v>
      </c>
      <c r="E390" s="6">
        <v>3183</v>
      </c>
      <c r="F390" s="6">
        <v>2457</v>
      </c>
      <c r="G390" s="6">
        <v>2188</v>
      </c>
      <c r="H390" s="7">
        <v>96</v>
      </c>
      <c r="I390" s="7">
        <v>246</v>
      </c>
      <c r="J390" s="7">
        <f t="shared" si="12"/>
        <v>2150447</v>
      </c>
      <c r="K390" s="5">
        <v>1002268067.92</v>
      </c>
      <c r="L390" s="9">
        <v>3674618</v>
      </c>
      <c r="N390" s="4" t="s">
        <v>662</v>
      </c>
      <c r="O390">
        <f t="shared" si="13"/>
        <v>2000000</v>
      </c>
    </row>
    <row r="391" spans="1:15" x14ac:dyDescent="0.25">
      <c r="A391" s="3">
        <v>4128203</v>
      </c>
      <c r="B391" s="3" t="s">
        <v>123</v>
      </c>
      <c r="C391" s="6">
        <v>6018</v>
      </c>
      <c r="D391">
        <v>9000</v>
      </c>
      <c r="E391" s="6">
        <v>1099</v>
      </c>
      <c r="F391" s="6">
        <v>2529</v>
      </c>
      <c r="G391" s="6">
        <v>570</v>
      </c>
      <c r="H391" s="7">
        <v>31</v>
      </c>
      <c r="I391" s="7">
        <v>23</v>
      </c>
      <c r="J391" s="7">
        <f t="shared" si="12"/>
        <v>19270</v>
      </c>
      <c r="K391" s="5">
        <v>287187661.5</v>
      </c>
      <c r="L391" s="9">
        <v>1616235</v>
      </c>
      <c r="N391" s="4" t="s">
        <v>407</v>
      </c>
      <c r="O391">
        <f t="shared" si="13"/>
        <v>9000</v>
      </c>
    </row>
    <row r="392" spans="1:15" x14ac:dyDescent="0.25">
      <c r="A392" s="3">
        <v>4128302</v>
      </c>
      <c r="B392" s="3" t="s">
        <v>316</v>
      </c>
      <c r="C392" s="6">
        <v>4913</v>
      </c>
      <c r="D392">
        <v>486000</v>
      </c>
      <c r="E392" s="6">
        <v>249</v>
      </c>
      <c r="F392" s="6">
        <v>99</v>
      </c>
      <c r="G392" s="6">
        <v>110</v>
      </c>
      <c r="H392" s="7">
        <v>0</v>
      </c>
      <c r="I392" s="7">
        <v>5</v>
      </c>
      <c r="J392" s="7">
        <f t="shared" si="12"/>
        <v>491376</v>
      </c>
      <c r="K392" s="5">
        <v>147820414.84999999</v>
      </c>
      <c r="L392" s="9">
        <v>104985</v>
      </c>
      <c r="N392" s="4" t="s">
        <v>786</v>
      </c>
      <c r="O392">
        <f t="shared" si="13"/>
        <v>486000</v>
      </c>
    </row>
    <row r="393" spans="1:15" x14ac:dyDescent="0.25">
      <c r="A393" s="3">
        <v>4128401</v>
      </c>
      <c r="B393" s="3" t="s">
        <v>190</v>
      </c>
      <c r="C393" s="6">
        <v>6349</v>
      </c>
      <c r="D393">
        <v>174000</v>
      </c>
      <c r="E393" s="6">
        <v>422</v>
      </c>
      <c r="F393" s="6">
        <v>215</v>
      </c>
      <c r="G393" s="6">
        <v>232</v>
      </c>
      <c r="H393" s="7">
        <v>6</v>
      </c>
      <c r="I393" s="7">
        <v>28</v>
      </c>
      <c r="J393" s="7">
        <f t="shared" si="12"/>
        <v>181252</v>
      </c>
      <c r="K393" s="5">
        <v>216128450.86000001</v>
      </c>
      <c r="L393" s="9">
        <v>332187</v>
      </c>
      <c r="N393" s="4" t="s">
        <v>787</v>
      </c>
      <c r="O393">
        <f t="shared" si="13"/>
        <v>174000</v>
      </c>
    </row>
    <row r="394" spans="1:15" x14ac:dyDescent="0.25">
      <c r="A394" s="3">
        <v>4128534</v>
      </c>
      <c r="B394" s="3" t="s">
        <v>357</v>
      </c>
      <c r="C394" s="6">
        <v>9455</v>
      </c>
      <c r="D394">
        <v>25000</v>
      </c>
      <c r="E394" s="6">
        <v>1810</v>
      </c>
      <c r="F394" s="6">
        <v>1644</v>
      </c>
      <c r="G394" s="6">
        <v>539</v>
      </c>
      <c r="H394" s="7">
        <v>14</v>
      </c>
      <c r="I394" s="7">
        <v>43</v>
      </c>
      <c r="J394" s="7">
        <f t="shared" si="12"/>
        <v>38505</v>
      </c>
      <c r="K394" s="5">
        <v>447738824.37</v>
      </c>
      <c r="L394" s="9">
        <v>320713</v>
      </c>
      <c r="N394" s="4" t="s">
        <v>438</v>
      </c>
      <c r="O394">
        <f t="shared" si="13"/>
        <v>25000</v>
      </c>
    </row>
    <row r="395" spans="1:15" x14ac:dyDescent="0.25">
      <c r="A395" s="3">
        <v>4128559</v>
      </c>
      <c r="B395" s="3" t="s">
        <v>165</v>
      </c>
      <c r="C395" s="6">
        <v>19591</v>
      </c>
      <c r="D395">
        <v>1838834</v>
      </c>
      <c r="E395" s="6">
        <v>1008</v>
      </c>
      <c r="F395" s="6">
        <v>11852</v>
      </c>
      <c r="G395" s="6">
        <v>276</v>
      </c>
      <c r="H395" s="7">
        <v>112</v>
      </c>
      <c r="I395" s="7">
        <v>39</v>
      </c>
      <c r="J395" s="7">
        <f t="shared" si="12"/>
        <v>1871712</v>
      </c>
      <c r="K395" s="5">
        <v>549493835.16999996</v>
      </c>
      <c r="L395" s="9">
        <v>334353</v>
      </c>
      <c r="N395" s="4" t="s">
        <v>788</v>
      </c>
      <c r="O395">
        <f t="shared" si="13"/>
        <v>1838834</v>
      </c>
    </row>
    <row r="396" spans="1:15" x14ac:dyDescent="0.25">
      <c r="A396" s="3">
        <v>4128609</v>
      </c>
      <c r="B396" s="3" t="s">
        <v>227</v>
      </c>
      <c r="C396" s="6">
        <v>15724</v>
      </c>
      <c r="D396">
        <v>3884351</v>
      </c>
      <c r="E396" s="6">
        <v>880</v>
      </c>
      <c r="F396" s="6">
        <v>1481</v>
      </c>
      <c r="G396" s="6">
        <v>204</v>
      </c>
      <c r="H396" s="7">
        <v>104</v>
      </c>
      <c r="I396" s="7">
        <v>7</v>
      </c>
      <c r="J396" s="7">
        <f t="shared" si="12"/>
        <v>3902751</v>
      </c>
      <c r="K396" s="5">
        <v>792799506.86000001</v>
      </c>
      <c r="L396" s="9">
        <v>417545</v>
      </c>
      <c r="N396" s="4" t="s">
        <v>789</v>
      </c>
      <c r="O396">
        <f t="shared" si="13"/>
        <v>3884351</v>
      </c>
    </row>
    <row r="397" spans="1:15" x14ac:dyDescent="0.25">
      <c r="A397" s="3">
        <v>4128658</v>
      </c>
      <c r="B397" s="3" t="s">
        <v>278</v>
      </c>
      <c r="C397" s="6">
        <v>11788</v>
      </c>
      <c r="D397">
        <v>31950</v>
      </c>
      <c r="E397" s="6">
        <v>814</v>
      </c>
      <c r="F397" s="6">
        <v>3997</v>
      </c>
      <c r="G397" s="6">
        <v>110</v>
      </c>
      <c r="H397" s="7">
        <v>138</v>
      </c>
      <c r="I397" s="7">
        <v>6</v>
      </c>
      <c r="J397" s="7">
        <f t="shared" si="12"/>
        <v>48803</v>
      </c>
      <c r="K397" s="5">
        <v>184568335.27000001</v>
      </c>
      <c r="L397" s="9">
        <v>174759</v>
      </c>
      <c r="N397" s="4" t="s">
        <v>790</v>
      </c>
      <c r="O397">
        <f t="shared" si="13"/>
        <v>31950</v>
      </c>
    </row>
    <row r="398" spans="1:15" x14ac:dyDescent="0.25">
      <c r="A398" s="3">
        <v>4128708</v>
      </c>
      <c r="B398" s="3" t="s">
        <v>351</v>
      </c>
      <c r="C398" s="6">
        <v>8024</v>
      </c>
      <c r="D398">
        <v>203952</v>
      </c>
      <c r="E398" s="6">
        <v>1509</v>
      </c>
      <c r="F398" s="6">
        <v>6239</v>
      </c>
      <c r="G398" s="6">
        <v>169</v>
      </c>
      <c r="H398" s="7">
        <v>61</v>
      </c>
      <c r="I398" s="7">
        <v>2</v>
      </c>
      <c r="J398" s="7">
        <f t="shared" si="12"/>
        <v>219956</v>
      </c>
      <c r="K398" s="5">
        <v>461693236.45999998</v>
      </c>
      <c r="L398" s="9">
        <v>444027</v>
      </c>
      <c r="N398" s="4" t="s">
        <v>791</v>
      </c>
      <c r="O398">
        <f t="shared" si="13"/>
        <v>203952</v>
      </c>
    </row>
    <row r="399" spans="1:15" x14ac:dyDescent="0.25">
      <c r="A399" s="3">
        <v>4128500</v>
      </c>
      <c r="B399" s="3" t="s">
        <v>64</v>
      </c>
      <c r="C399" s="6">
        <v>14650</v>
      </c>
      <c r="D399">
        <v>430204</v>
      </c>
      <c r="E399" s="6">
        <v>194</v>
      </c>
      <c r="F399" s="6">
        <v>3119</v>
      </c>
      <c r="G399" s="6">
        <v>523</v>
      </c>
      <c r="H399" s="7">
        <v>481</v>
      </c>
      <c r="I399" s="7">
        <v>81</v>
      </c>
      <c r="J399" s="7">
        <f t="shared" si="12"/>
        <v>449252</v>
      </c>
      <c r="K399" s="5">
        <v>352129158.05000001</v>
      </c>
      <c r="L399" s="9">
        <v>622784</v>
      </c>
      <c r="N399" s="4" t="s">
        <v>792</v>
      </c>
      <c r="O399">
        <f t="shared" si="13"/>
        <v>430204</v>
      </c>
    </row>
    <row r="400" spans="1:15" x14ac:dyDescent="0.25">
      <c r="A400" s="3">
        <v>4128807</v>
      </c>
      <c r="B400" s="3" t="s">
        <v>392</v>
      </c>
      <c r="C400" s="6">
        <v>50642</v>
      </c>
      <c r="D400">
        <v>185000</v>
      </c>
      <c r="E400" s="6">
        <v>498</v>
      </c>
      <c r="F400" s="6">
        <v>296</v>
      </c>
      <c r="G400" s="6">
        <v>501</v>
      </c>
      <c r="H400" s="7">
        <v>11</v>
      </c>
      <c r="I400" s="7">
        <v>29</v>
      </c>
      <c r="J400" s="7">
        <f t="shared" si="12"/>
        <v>236977</v>
      </c>
      <c r="K400" s="5">
        <v>178310799.59999999</v>
      </c>
      <c r="L400" s="10">
        <v>128281</v>
      </c>
      <c r="N400" s="4" t="s">
        <v>529</v>
      </c>
      <c r="O400">
        <f t="shared" si="13"/>
        <v>185000</v>
      </c>
    </row>
  </sheetData>
  <sortState xmlns:xlrd2="http://schemas.microsoft.com/office/spreadsheetml/2017/richdata2" ref="A2:J400">
    <sortCondition ref="B2:B4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2025-11-26T12:52:13Z</dcterms:created>
  <dcterms:modified xsi:type="dcterms:W3CDTF">2025-12-01T21:15:52Z</dcterms:modified>
</cp:coreProperties>
</file>